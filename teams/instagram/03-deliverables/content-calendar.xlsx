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اهنما" sheetId="1" state="visible" r:id="rId1"/>
    <sheet xmlns:r="http://schemas.openxmlformats.org/officeDocument/2006/relationships" name="تقویم محتوایی" sheetId="2" state="visible" r:id="rId2"/>
    <sheet xmlns:r="http://schemas.openxmlformats.org/officeDocument/2006/relationships" name="مخزن ایده" sheetId="3" state="visible" r:id="rId3"/>
    <sheet xmlns:r="http://schemas.openxmlformats.org/officeDocument/2006/relationships" name="ثبت عملکرد" sheetId="4" state="visible" r:id="rId4"/>
    <sheet xmlns:r="http://schemas.openxmlformats.org/officeDocument/2006/relationships" name="داشبورد KPI" sheetId="5" state="visible" r:id="rId5"/>
    <sheet xmlns:r="http://schemas.openxmlformats.org/officeDocument/2006/relationships" name="SEO و هشتگ" sheetId="6" state="visible" r:id="rId6"/>
    <sheet xmlns:r="http://schemas.openxmlformats.org/officeDocument/2006/relationships" name="حسابرسی پی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b val="1"/>
      <color rgb="001F2A44"/>
      <sz val="11"/>
    </font>
    <font>
      <b val="1"/>
      <color rgb="00FFFFFF"/>
      <sz val="10"/>
    </font>
    <font>
      <b val="1"/>
      <color rgb="001F2A44"/>
      <sz val="12"/>
    </font>
    <font>
      <b val="1"/>
      <color rgb="001E8449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0E7C7B"/>
      </patternFill>
    </fill>
    <fill>
      <patternFill patternType="solid">
        <fgColor rgb="00EEF2F7"/>
      </patternFill>
    </fill>
    <fill>
      <patternFill patternType="solid">
        <fgColor rgb="00C9A227"/>
      </patternFill>
    </fill>
    <fill>
      <patternFill patternType="solid">
        <fgColor rgb="001E8449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0" borderId="0" pivotButton="0" quotePrefix="0" xfId="0"/>
    <xf numFmtId="0" fontId="0" fillId="0" borderId="0" applyAlignment="1" pivotButton="0" quotePrefix="0" xfId="0">
      <alignment vertical="center" wrapText="1" readingOrder="2"/>
    </xf>
    <xf numFmtId="0" fontId="3" fillId="3" borderId="1" applyAlignment="1" pivotButton="0" quotePrefix="0" xfId="0">
      <alignment horizontal="center" vertical="center" wrapText="1" readingOrder="2"/>
    </xf>
    <xf numFmtId="0" fontId="0" fillId="0" borderId="1" applyAlignment="1" pivotButton="0" quotePrefix="0" xfId="0">
      <alignment horizontal="center" vertical="center" readingOrder="2"/>
    </xf>
    <xf numFmtId="0" fontId="0" fillId="0" borderId="1" applyAlignment="1" pivotButton="0" quotePrefix="0" xfId="0">
      <alignment horizontal="right" vertical="center" wrapText="1" readingOrder="2"/>
    </xf>
    <xf numFmtId="0" fontId="0" fillId="4" borderId="1" applyAlignment="1" pivotButton="0" quotePrefix="0" xfId="0">
      <alignment horizontal="center" vertical="center" readingOrder="2"/>
    </xf>
    <xf numFmtId="0" fontId="0" fillId="4" borderId="1" applyAlignment="1" pivotButton="0" quotePrefix="0" xfId="0">
      <alignment horizontal="right" vertical="center" wrapText="1" readingOrder="2"/>
    </xf>
    <xf numFmtId="0" fontId="1" fillId="5" borderId="0" applyAlignment="1" pivotButton="0" quotePrefix="0" xfId="0">
      <alignment horizontal="center" vertical="center" readingOrder="2"/>
    </xf>
    <xf numFmtId="0" fontId="1" fillId="6" borderId="0" applyAlignment="1" pivotButton="0" quotePrefix="0" xfId="0">
      <alignment horizontal="center" vertical="center" readingOrder="2"/>
    </xf>
    <xf numFmtId="0" fontId="1" fillId="3" borderId="0" applyAlignment="1" pivotButton="0" quotePrefix="0" xfId="0">
      <alignment horizontal="center" vertical="center" readingOrder="2"/>
    </xf>
    <xf numFmtId="0" fontId="4" fillId="0" borderId="0" pivotButton="0" quotePrefix="0" xfId="0"/>
    <xf numFmtId="0" fontId="0" fillId="0" borderId="0" applyAlignment="1" pivotButton="0" quotePrefix="0" xfId="0">
      <alignment wrapText="1" readingOrder="2"/>
    </xf>
    <xf numFmtId="0" fontId="1" fillId="7" borderId="0" applyAlignment="1" pivotButton="0" quotePrefix="0" xfId="0">
      <alignment horizontal="center" vertical="center" readingOrder="2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95" customWidth="1" min="2" max="2"/>
    <col width="12" customWidth="1" min="3" max="3"/>
    <col width="12" customWidth="1" min="4" max="4"/>
  </cols>
  <sheetData>
    <row r="1" ht="30" customHeight="1">
      <c r="A1" s="1" t="inlineStr">
        <is>
          <t>📅 تقویم محتوایی و داشبورد رشد — تیم ۶ نفره اینستاگرام (نسخه ۱۳ سپتامبر ۲۰۲۶)</t>
        </is>
      </c>
    </row>
    <row r="2" ht="30" customHeight="1">
      <c r="A2" s="2" t="inlineStr"/>
      <c r="B2" s="3" t="inlineStr"/>
    </row>
    <row r="3" ht="30" customHeight="1">
      <c r="A3" s="2" t="inlineStr">
        <is>
          <t>شیت</t>
        </is>
      </c>
      <c r="B3" s="3" t="inlineStr">
        <is>
          <t>کاربرد</t>
        </is>
      </c>
    </row>
    <row r="4" ht="30" customHeight="1">
      <c r="A4" s="2" t="inlineStr">
        <is>
          <t>تقویم محتوایی</t>
        </is>
      </c>
      <c r="B4" s="3" t="inlineStr">
        <is>
          <t>۲۸ روز برنامه اجرایی: روز، ساعت، فرمت، ستون، هوک، CTA، هشتگ، وضعیت تولید</t>
        </is>
      </c>
    </row>
    <row r="5" ht="30" customHeight="1">
      <c r="A5" s="2" t="inlineStr">
        <is>
          <t>مخزن ایده</t>
        </is>
      </c>
      <c r="B5" s="3" t="inlineStr">
        <is>
          <t>ایده‌ها با امتیازدهی ICE-S. فرمول خودش جمع می‌زند و حکم می‌دهد (۷۵+ = ورود به تقویم)</t>
        </is>
      </c>
    </row>
    <row r="6" ht="30" customHeight="1">
      <c r="A6" s="2" t="inlineStr">
        <is>
          <t>ثبت عملکرد</t>
        </is>
      </c>
      <c r="B6" s="3" t="inlineStr">
        <is>
          <t>عدد هر پست را وارد کنید. ستون‌های محاسبه‌شده (ER، Sends/Reach، Watch Ratio) خودکار پر می‌شوند</t>
        </is>
      </c>
    </row>
    <row r="7" ht="30" customHeight="1">
      <c r="A7" s="2" t="inlineStr">
        <is>
          <t>داشبورد KPI</t>
        </is>
      </c>
      <c r="B7" s="3" t="inlineStr">
        <is>
          <t>سه سیگنال رسمی + قیف تبدیل + وضعیت سلامت. خودکار از شیت ثبت عملکرد می‌خواند</t>
        </is>
      </c>
    </row>
    <row r="8" ht="30" customHeight="1">
      <c r="A8" s="2" t="inlineStr">
        <is>
          <t>SEO و هشتگ</t>
        </is>
      </c>
      <c r="B8" s="3" t="inlineStr">
        <is>
          <t>نقشه کلمات کلیدی: کجا باید ظاهر شوند (نام پروفایل، بیو، کپشن، Alt)</t>
        </is>
      </c>
    </row>
    <row r="9" ht="30" customHeight="1">
      <c r="A9" s="2" t="inlineStr">
        <is>
          <t>حسابرسی پیج</t>
        </is>
      </c>
      <c r="B9" s="3" t="inlineStr">
        <is>
          <t>چک‌لیست ۷ بخشی. ستون وضعیت را پر کنید، امتیاز سلامت خودکار حساب می‌شود</t>
        </is>
      </c>
    </row>
    <row r="10" ht="30" customHeight="1">
      <c r="A10" s="2" t="inlineStr"/>
      <c r="B10" s="3" t="inlineStr"/>
    </row>
    <row r="11" ht="30" customHeight="1">
      <c r="A11" s="2" t="inlineStr">
        <is>
          <t>⚠️ نکته مهم</t>
        </is>
      </c>
      <c r="B11" s="3" t="inlineStr">
        <is>
          <t>هیچ بنچمارکی در این فایل عدد رسمی اینستاگرام نیست. آستانه‌ها تجربی‌اند و باید با خط پایه پیج خودتان مقایسه شوند.</t>
        </is>
      </c>
    </row>
    <row r="12" ht="30" customHeight="1">
      <c r="A12" s="2" t="inlineStr"/>
      <c r="B12" s="3" t="inlineStr"/>
    </row>
    <row r="13" ht="30" customHeight="1">
      <c r="A13" s="2" t="inlineStr">
        <is>
          <t>سه سیگنال رسمی (تنها چیزی که Instagram رسماً اعلام کرده)</t>
        </is>
      </c>
      <c r="B13" s="3" t="inlineStr"/>
    </row>
    <row r="14" ht="30" customHeight="1">
      <c r="A14" s="2" t="inlineStr">
        <is>
          <t>۱. Watch time</t>
        </is>
      </c>
      <c r="B14" s="3" t="inlineStr">
        <is>
          <t>میانگین زمان تماشا — سیگنال شماره یک در همه سطح‌ها</t>
        </is>
      </c>
    </row>
    <row r="15" ht="30" customHeight="1">
      <c r="A15" s="2" t="inlineStr">
        <is>
          <t>۲. Sends per reach</t>
        </is>
      </c>
      <c r="B15" s="3" t="inlineStr">
        <is>
          <t>ارسال دایرکت تقسیم بر ریچ — قوی‌ترین سیگنال برای رسیدن به مخاطب جدید</t>
        </is>
      </c>
    </row>
    <row r="16" ht="30" customHeight="1">
      <c r="A16" s="2" t="inlineStr">
        <is>
          <t>۳. Likes per reach</t>
        </is>
      </c>
      <c r="B16" s="3" t="inlineStr">
        <is>
          <t>لایک تقسیم بر ریچ — بیشتر برای فالوورهای فعلی مهم است</t>
        </is>
      </c>
    </row>
    <row r="17" ht="30" customHeight="1">
      <c r="A17" s="2" t="inlineStr"/>
      <c r="B17" s="3" t="inlineStr"/>
    </row>
    <row r="18" ht="30" customHeight="1">
      <c r="A18" s="2" t="inlineStr">
        <is>
          <t>تیم مسئول</t>
        </is>
      </c>
      <c r="B18" s="3" t="inlineStr"/>
    </row>
    <row r="19" ht="30" customHeight="1">
      <c r="A19" s="2" t="inlineStr">
        <is>
          <t>رادین</t>
        </is>
      </c>
      <c r="B19" s="3" t="inlineStr">
        <is>
          <t>الگوریتم، صلاحیت توصیه، بنچمارک رقبا</t>
        </is>
      </c>
    </row>
    <row r="20" ht="30" customHeight="1">
      <c r="A20" s="2" t="inlineStr">
        <is>
          <t>سارینا</t>
        </is>
      </c>
      <c r="B20" s="3" t="inlineStr">
        <is>
          <t>استراتژی، پرسونا، ستون محتوا، KPI</t>
        </is>
      </c>
    </row>
    <row r="21" ht="30" customHeight="1">
      <c r="A21" s="2" t="inlineStr">
        <is>
          <t>آرمان</t>
        </is>
      </c>
      <c r="B21" s="3" t="inlineStr">
        <is>
          <t>ایده‌پردازی و سریال‌سازی</t>
        </is>
      </c>
    </row>
    <row r="22" ht="30" customHeight="1">
      <c r="A22" s="2" t="inlineStr">
        <is>
          <t>نیکی</t>
        </is>
      </c>
      <c r="B22" s="3" t="inlineStr">
        <is>
          <t>سناریو، کپشن، هوک، CTA</t>
        </is>
      </c>
    </row>
    <row r="23" ht="30" customHeight="1">
      <c r="A23" s="2" t="inlineStr">
        <is>
          <t>مهراد</t>
        </is>
      </c>
      <c r="B23" s="3" t="inlineStr">
        <is>
          <t>تقویم، کدنسی، سئو، آزمایش</t>
        </is>
      </c>
    </row>
    <row r="24" ht="30" customHeight="1">
      <c r="A24" s="2" t="inlineStr">
        <is>
          <t>دانیال</t>
        </is>
      </c>
      <c r="B24" s="3" t="inlineStr">
        <is>
          <t>آنالیز، حسابرسی، نقشه اصلاح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8" customWidth="1" min="4" max="4"/>
    <col width="10" customWidth="1" min="5" max="5"/>
    <col width="10" customWidth="1" min="6" max="6"/>
    <col width="14" customWidth="1" min="7" max="7"/>
    <col width="12" customWidth="1" min="8" max="8"/>
    <col width="34" customWidth="1" min="9" max="9"/>
    <col width="36" customWidth="1" min="10" max="10"/>
    <col width="24" customWidth="1" min="11" max="11"/>
    <col width="22" customWidth="1" min="12" max="12"/>
    <col width="10" customWidth="1" min="13" max="13"/>
    <col width="12" customWidth="1" min="14" max="14"/>
    <col width="10" customWidth="1" min="15" max="15"/>
    <col width="24" customWidth="1" min="16" max="16"/>
  </cols>
  <sheetData>
    <row r="1" ht="30" customHeight="1">
      <c r="A1" s="1" t="inlineStr">
        <is>
          <t>🗓️ تقویم محتوایی ۲۸ روزه — قالب اجرایی (محتوا را با نیچ خودتان پر کنید)</t>
        </is>
      </c>
    </row>
    <row r="2" ht="34" customHeight="1">
      <c r="A2" s="4" t="inlineStr">
        <is>
          <t>#</t>
        </is>
      </c>
      <c r="B2" s="4" t="inlineStr">
        <is>
          <t>تاریخ</t>
        </is>
      </c>
      <c r="C2" s="4" t="inlineStr">
        <is>
          <t>روز</t>
        </is>
      </c>
      <c r="D2" s="4" t="inlineStr">
        <is>
          <t>ساعت</t>
        </is>
      </c>
      <c r="E2" s="4" t="inlineStr">
        <is>
          <t>فرمت</t>
        </is>
      </c>
      <c r="F2" s="4" t="inlineStr">
        <is>
          <t>طول</t>
        </is>
      </c>
      <c r="G2" s="4" t="inlineStr">
        <is>
          <t>ستون محتوا</t>
        </is>
      </c>
      <c r="H2" s="4" t="inlineStr">
        <is>
          <t>پرسونا</t>
        </is>
      </c>
      <c r="I2" s="4" t="inlineStr">
        <is>
          <t>عنوان پست</t>
        </is>
      </c>
      <c r="J2" s="4" t="inlineStr">
        <is>
          <t>هوک (۳ ثانیه اول)</t>
        </is>
      </c>
      <c r="K2" s="4" t="inlineStr">
        <is>
          <t>CTA</t>
        </is>
      </c>
      <c r="L2" s="4" t="inlineStr">
        <is>
          <t>هشتگ (حداکثر ۵)</t>
        </is>
      </c>
      <c r="M2" s="4" t="inlineStr">
        <is>
          <t>هدف قیف</t>
        </is>
      </c>
      <c r="N2" s="4" t="inlineStr">
        <is>
          <t>وضعیت تولید</t>
        </is>
      </c>
      <c r="O2" s="4" t="inlineStr">
        <is>
          <t>مسئول</t>
        </is>
      </c>
      <c r="P2" s="4" t="inlineStr">
        <is>
          <t>یادداشت</t>
        </is>
      </c>
    </row>
    <row r="3">
      <c r="A3" s="5" t="n">
        <v>1</v>
      </c>
      <c r="B3" s="5" t="inlineStr">
        <is>
          <t>2026-09-14</t>
        </is>
      </c>
      <c r="C3" s="5" t="inlineStr">
        <is>
          <t>شنبه</t>
        </is>
      </c>
      <c r="D3" s="5" t="inlineStr">
        <is>
          <t>۲۰:۳۰</t>
        </is>
      </c>
      <c r="E3" s="5" t="inlineStr">
        <is>
          <t>ریلز</t>
        </is>
      </c>
      <c r="F3" s="5" t="inlineStr">
        <is>
          <t>۲۰–۳۰s</t>
        </is>
      </c>
      <c r="G3" s="5" t="inlineStr">
        <is>
          <t>آموزشی</t>
        </is>
      </c>
      <c r="H3" s="5" t="inlineStr"/>
      <c r="I3" s="6" t="inlineStr"/>
      <c r="J3" s="6" t="inlineStr"/>
      <c r="K3" s="6" t="inlineStr"/>
      <c r="L3" s="6" t="inlineStr"/>
      <c r="M3" s="5" t="inlineStr">
        <is>
          <t>TOFU</t>
        </is>
      </c>
      <c r="N3" s="5" t="inlineStr">
        <is>
          <t>⬜ ایده</t>
        </is>
      </c>
      <c r="O3" s="5" t="inlineStr">
        <is>
          <t>نیکی</t>
        </is>
      </c>
      <c r="P3" s="6" t="inlineStr">
        <is>
          <t>آموزش سریع</t>
        </is>
      </c>
    </row>
    <row r="4">
      <c r="A4" s="7" t="n">
        <v>2</v>
      </c>
      <c r="B4" s="7" t="inlineStr">
        <is>
          <t>2026-09-15</t>
        </is>
      </c>
      <c r="C4" s="7" t="inlineStr">
        <is>
          <t>یکشنبه</t>
        </is>
      </c>
      <c r="D4" s="7" t="inlineStr">
        <is>
          <t>۱۳:۳۰</t>
        </is>
      </c>
      <c r="E4" s="7" t="inlineStr">
        <is>
          <t>کاروسل</t>
        </is>
      </c>
      <c r="F4" s="7" t="inlineStr">
        <is>
          <t>۸ اسلاید</t>
        </is>
      </c>
      <c r="G4" s="7" t="inlineStr">
        <is>
          <t>آموزشی</t>
        </is>
      </c>
      <c r="H4" s="7" t="inlineStr"/>
      <c r="I4" s="8" t="inlineStr"/>
      <c r="J4" s="8" t="inlineStr"/>
      <c r="K4" s="8" t="inlineStr"/>
      <c r="L4" s="8" t="inlineStr"/>
      <c r="M4" s="7" t="inlineStr">
        <is>
          <t>MOFU</t>
        </is>
      </c>
      <c r="N4" s="7" t="inlineStr">
        <is>
          <t>⬜ ایده</t>
        </is>
      </c>
      <c r="O4" s="7" t="inlineStr">
        <is>
          <t>نیکی</t>
        </is>
      </c>
      <c r="P4" s="8" t="inlineStr">
        <is>
          <t>چک‌لیست مرجع</t>
        </is>
      </c>
    </row>
    <row r="5">
      <c r="A5" s="5" t="n">
        <v>3</v>
      </c>
      <c r="B5" s="5" t="inlineStr">
        <is>
          <t>2026-09-16</t>
        </is>
      </c>
      <c r="C5" s="5" t="inlineStr">
        <is>
          <t>دوشنبه</t>
        </is>
      </c>
      <c r="D5" s="5" t="inlineStr">
        <is>
          <t>۱۰:۰۰</t>
        </is>
      </c>
      <c r="E5" s="5" t="inlineStr">
        <is>
          <t>استوری</t>
        </is>
      </c>
      <c r="F5" s="5" t="inlineStr">
        <is>
          <t>۵ فریم</t>
        </is>
      </c>
      <c r="G5" s="5" t="inlineStr">
        <is>
          <t>برند</t>
        </is>
      </c>
      <c r="H5" s="5" t="inlineStr"/>
      <c r="I5" s="6" t="inlineStr"/>
      <c r="J5" s="6" t="inlineStr"/>
      <c r="K5" s="6" t="inlineStr"/>
      <c r="L5" s="6" t="inlineStr"/>
      <c r="M5" s="5" t="inlineStr">
        <is>
          <t>MOFU</t>
        </is>
      </c>
      <c r="N5" s="5" t="inlineStr">
        <is>
          <t>⬜ ایده</t>
        </is>
      </c>
      <c r="O5" s="5" t="inlineStr">
        <is>
          <t>نیکی</t>
        </is>
      </c>
      <c r="P5" s="6" t="inlineStr">
        <is>
          <t>پشت‌صحنه</t>
        </is>
      </c>
    </row>
    <row r="6">
      <c r="A6" s="7" t="n">
        <v>4</v>
      </c>
      <c r="B6" s="7" t="inlineStr">
        <is>
          <t>2026-09-17</t>
        </is>
      </c>
      <c r="C6" s="7" t="inlineStr">
        <is>
          <t>سه‌شنبه</t>
        </is>
      </c>
      <c r="D6" s="7" t="inlineStr">
        <is>
          <t>۲۰:۳۰</t>
        </is>
      </c>
      <c r="E6" s="7" t="inlineStr">
        <is>
          <t>ریلز</t>
        </is>
      </c>
      <c r="F6" s="7" t="inlineStr">
        <is>
          <t>۱۵–۲۵s</t>
        </is>
      </c>
      <c r="G6" s="7" t="inlineStr">
        <is>
          <t>اختلافی</t>
        </is>
      </c>
      <c r="H6" s="7" t="inlineStr"/>
      <c r="I6" s="8" t="inlineStr"/>
      <c r="J6" s="8" t="inlineStr"/>
      <c r="K6" s="8" t="inlineStr"/>
      <c r="L6" s="8" t="inlineStr"/>
      <c r="M6" s="7" t="inlineStr">
        <is>
          <t>TOFU</t>
        </is>
      </c>
      <c r="N6" s="7" t="inlineStr">
        <is>
          <t>⬜ ایده</t>
        </is>
      </c>
      <c r="O6" s="7" t="inlineStr">
        <is>
          <t>نیکی</t>
        </is>
      </c>
      <c r="P6" s="8" t="inlineStr">
        <is>
          <t>باور غلط</t>
        </is>
      </c>
    </row>
    <row r="7">
      <c r="A7" s="5" t="n">
        <v>5</v>
      </c>
      <c r="B7" s="5" t="inlineStr">
        <is>
          <t>2026-09-18</t>
        </is>
      </c>
      <c r="C7" s="5" t="inlineStr">
        <is>
          <t>چهارشنبه</t>
        </is>
      </c>
      <c r="D7" s="5" t="inlineStr">
        <is>
          <t>۱۳:۳۰</t>
        </is>
      </c>
      <c r="E7" s="5" t="inlineStr">
        <is>
          <t>کاروسل</t>
        </is>
      </c>
      <c r="F7" s="5" t="inlineStr">
        <is>
          <t>۱۰ اسلاید</t>
        </is>
      </c>
      <c r="G7" s="5" t="inlineStr">
        <is>
          <t>اثبات اجتماعی</t>
        </is>
      </c>
      <c r="H7" s="5" t="inlineStr"/>
      <c r="I7" s="6" t="inlineStr"/>
      <c r="J7" s="6" t="inlineStr"/>
      <c r="K7" s="6" t="inlineStr"/>
      <c r="L7" s="6" t="inlineStr"/>
      <c r="M7" s="5" t="inlineStr">
        <is>
          <t>MOFU</t>
        </is>
      </c>
      <c r="N7" s="5" t="inlineStr">
        <is>
          <t>⬜ ایده</t>
        </is>
      </c>
      <c r="O7" s="5" t="inlineStr">
        <is>
          <t>نیکی</t>
        </is>
      </c>
      <c r="P7" s="6" t="inlineStr">
        <is>
          <t>کیس واقعی</t>
        </is>
      </c>
    </row>
    <row r="8">
      <c r="A8" s="7" t="n">
        <v>6</v>
      </c>
      <c r="B8" s="7" t="inlineStr">
        <is>
          <t>2026-09-19</t>
        </is>
      </c>
      <c r="C8" s="7" t="inlineStr">
        <is>
          <t>پنجشنبه</t>
        </is>
      </c>
      <c r="D8" s="7" t="inlineStr">
        <is>
          <t>۲۰:۳۰</t>
        </is>
      </c>
      <c r="E8" s="7" t="inlineStr">
        <is>
          <t>ریلز</t>
        </is>
      </c>
      <c r="F8" s="7" t="inlineStr">
        <is>
          <t>۳۰–۴۵s</t>
        </is>
      </c>
      <c r="G8" s="7" t="inlineStr">
        <is>
          <t>کامیونیتی</t>
        </is>
      </c>
      <c r="H8" s="7" t="inlineStr"/>
      <c r="I8" s="8" t="inlineStr"/>
      <c r="J8" s="8" t="inlineStr"/>
      <c r="K8" s="8" t="inlineStr"/>
      <c r="L8" s="8" t="inlineStr"/>
      <c r="M8" s="7" t="inlineStr">
        <is>
          <t>TOFU</t>
        </is>
      </c>
      <c r="N8" s="7" t="inlineStr">
        <is>
          <t>⬜ ایده</t>
        </is>
      </c>
      <c r="O8" s="7" t="inlineStr">
        <is>
          <t>نیکی</t>
        </is>
      </c>
      <c r="P8" s="8" t="inlineStr">
        <is>
          <t>پاسخ به دایرکت</t>
        </is>
      </c>
    </row>
    <row r="9">
      <c r="A9" s="5" t="n">
        <v>7</v>
      </c>
      <c r="B9" s="5" t="inlineStr">
        <is>
          <t>2026-09-20</t>
        </is>
      </c>
      <c r="C9" s="5" t="inlineStr">
        <is>
          <t>جمعه</t>
        </is>
      </c>
      <c r="D9" s="5" t="inlineStr">
        <is>
          <t>۱۱:۰۰</t>
        </is>
      </c>
      <c r="E9" s="5" t="inlineStr">
        <is>
          <t>استوری</t>
        </is>
      </c>
      <c r="F9" s="5" t="inlineStr">
        <is>
          <t>۳ فریم</t>
        </is>
      </c>
      <c r="G9" s="5" t="inlineStr">
        <is>
          <t>فروش</t>
        </is>
      </c>
      <c r="H9" s="5" t="inlineStr"/>
      <c r="I9" s="6" t="inlineStr"/>
      <c r="J9" s="6" t="inlineStr"/>
      <c r="K9" s="6" t="inlineStr"/>
      <c r="L9" s="6" t="inlineStr"/>
      <c r="M9" s="5" t="inlineStr">
        <is>
          <t>BOFU</t>
        </is>
      </c>
      <c r="N9" s="5" t="inlineStr">
        <is>
          <t>⬜ ایده</t>
        </is>
      </c>
      <c r="O9" s="5" t="inlineStr">
        <is>
          <t>نیکی</t>
        </is>
      </c>
      <c r="P9" s="6" t="inlineStr">
        <is>
          <t>فروش نرم</t>
        </is>
      </c>
    </row>
    <row r="10">
      <c r="A10" s="7" t="n">
        <v>8</v>
      </c>
      <c r="B10" s="7" t="inlineStr">
        <is>
          <t>2026-09-21</t>
        </is>
      </c>
      <c r="C10" s="7" t="inlineStr">
        <is>
          <t>شنبه</t>
        </is>
      </c>
      <c r="D10" s="7" t="inlineStr">
        <is>
          <t>۲۰:۳۰</t>
        </is>
      </c>
      <c r="E10" s="7" t="inlineStr">
        <is>
          <t>ریلز</t>
        </is>
      </c>
      <c r="F10" s="7" t="inlineStr">
        <is>
          <t>۲۰–۳۰s</t>
        </is>
      </c>
      <c r="G10" s="7" t="inlineStr">
        <is>
          <t>آموزشی</t>
        </is>
      </c>
      <c r="H10" s="7" t="inlineStr"/>
      <c r="I10" s="8" t="inlineStr"/>
      <c r="J10" s="8" t="inlineStr"/>
      <c r="K10" s="8" t="inlineStr"/>
      <c r="L10" s="8" t="inlineStr"/>
      <c r="M10" s="7" t="inlineStr">
        <is>
          <t>TOFU</t>
        </is>
      </c>
      <c r="N10" s="7" t="inlineStr">
        <is>
          <t>⬜ ایده</t>
        </is>
      </c>
      <c r="O10" s="7" t="inlineStr">
        <is>
          <t>نیکی</t>
        </is>
      </c>
      <c r="P10" s="8" t="inlineStr">
        <is>
          <t>آموزش سریع</t>
        </is>
      </c>
    </row>
    <row r="11">
      <c r="A11" s="5" t="n">
        <v>9</v>
      </c>
      <c r="B11" s="5" t="inlineStr">
        <is>
          <t>2026-09-22</t>
        </is>
      </c>
      <c r="C11" s="5" t="inlineStr">
        <is>
          <t>یکشنبه</t>
        </is>
      </c>
      <c r="D11" s="5" t="inlineStr">
        <is>
          <t>۱۳:۳۰</t>
        </is>
      </c>
      <c r="E11" s="5" t="inlineStr">
        <is>
          <t>کاروسل</t>
        </is>
      </c>
      <c r="F11" s="5" t="inlineStr">
        <is>
          <t>۸ اسلاید</t>
        </is>
      </c>
      <c r="G11" s="5" t="inlineStr">
        <is>
          <t>آموزشی</t>
        </is>
      </c>
      <c r="H11" s="5" t="inlineStr"/>
      <c r="I11" s="6" t="inlineStr"/>
      <c r="J11" s="6" t="inlineStr"/>
      <c r="K11" s="6" t="inlineStr"/>
      <c r="L11" s="6" t="inlineStr"/>
      <c r="M11" s="5" t="inlineStr">
        <is>
          <t>MOFU</t>
        </is>
      </c>
      <c r="N11" s="5" t="inlineStr">
        <is>
          <t>⬜ ایده</t>
        </is>
      </c>
      <c r="O11" s="5" t="inlineStr">
        <is>
          <t>نیکی</t>
        </is>
      </c>
      <c r="P11" s="6" t="inlineStr">
        <is>
          <t>چک‌لیست مرجع</t>
        </is>
      </c>
    </row>
    <row r="12">
      <c r="A12" s="7" t="n">
        <v>10</v>
      </c>
      <c r="B12" s="7" t="inlineStr">
        <is>
          <t>2026-09-23</t>
        </is>
      </c>
      <c r="C12" s="7" t="inlineStr">
        <is>
          <t>دوشنبه</t>
        </is>
      </c>
      <c r="D12" s="7" t="inlineStr">
        <is>
          <t>۱۰:۰۰</t>
        </is>
      </c>
      <c r="E12" s="7" t="inlineStr">
        <is>
          <t>استوری</t>
        </is>
      </c>
      <c r="F12" s="7" t="inlineStr">
        <is>
          <t>۵ فریم</t>
        </is>
      </c>
      <c r="G12" s="7" t="inlineStr">
        <is>
          <t>برند</t>
        </is>
      </c>
      <c r="H12" s="7" t="inlineStr"/>
      <c r="I12" s="8" t="inlineStr"/>
      <c r="J12" s="8" t="inlineStr"/>
      <c r="K12" s="8" t="inlineStr"/>
      <c r="L12" s="8" t="inlineStr"/>
      <c r="M12" s="7" t="inlineStr">
        <is>
          <t>MOFU</t>
        </is>
      </c>
      <c r="N12" s="7" t="inlineStr">
        <is>
          <t>⬜ ایده</t>
        </is>
      </c>
      <c r="O12" s="7" t="inlineStr">
        <is>
          <t>نیکی</t>
        </is>
      </c>
      <c r="P12" s="8" t="inlineStr">
        <is>
          <t>پشت‌صحنه</t>
        </is>
      </c>
    </row>
    <row r="13">
      <c r="A13" s="5" t="n">
        <v>11</v>
      </c>
      <c r="B13" s="5" t="inlineStr">
        <is>
          <t>2026-09-24</t>
        </is>
      </c>
      <c r="C13" s="5" t="inlineStr">
        <is>
          <t>سه‌شنبه</t>
        </is>
      </c>
      <c r="D13" s="5" t="inlineStr">
        <is>
          <t>۲۰:۳۰</t>
        </is>
      </c>
      <c r="E13" s="5" t="inlineStr">
        <is>
          <t>ریلز</t>
        </is>
      </c>
      <c r="F13" s="5" t="inlineStr">
        <is>
          <t>۱۵–۲۵s</t>
        </is>
      </c>
      <c r="G13" s="5" t="inlineStr">
        <is>
          <t>اختلافی</t>
        </is>
      </c>
      <c r="H13" s="5" t="inlineStr"/>
      <c r="I13" s="6" t="inlineStr"/>
      <c r="J13" s="6" t="inlineStr"/>
      <c r="K13" s="6" t="inlineStr"/>
      <c r="L13" s="6" t="inlineStr"/>
      <c r="M13" s="5" t="inlineStr">
        <is>
          <t>TOFU</t>
        </is>
      </c>
      <c r="N13" s="5" t="inlineStr">
        <is>
          <t>⬜ ایده</t>
        </is>
      </c>
      <c r="O13" s="5" t="inlineStr">
        <is>
          <t>نیکی</t>
        </is>
      </c>
      <c r="P13" s="6" t="inlineStr">
        <is>
          <t>باور غلط</t>
        </is>
      </c>
    </row>
    <row r="14">
      <c r="A14" s="7" t="n">
        <v>12</v>
      </c>
      <c r="B14" s="7" t="inlineStr">
        <is>
          <t>2026-09-25</t>
        </is>
      </c>
      <c r="C14" s="7" t="inlineStr">
        <is>
          <t>چهارشنبه</t>
        </is>
      </c>
      <c r="D14" s="7" t="inlineStr">
        <is>
          <t>۱۳:۳۰</t>
        </is>
      </c>
      <c r="E14" s="7" t="inlineStr">
        <is>
          <t>کاروسل</t>
        </is>
      </c>
      <c r="F14" s="7" t="inlineStr">
        <is>
          <t>۱۰ اسلاید</t>
        </is>
      </c>
      <c r="G14" s="7" t="inlineStr">
        <is>
          <t>اثبات اجتماعی</t>
        </is>
      </c>
      <c r="H14" s="7" t="inlineStr"/>
      <c r="I14" s="8" t="inlineStr"/>
      <c r="J14" s="8" t="inlineStr"/>
      <c r="K14" s="8" t="inlineStr"/>
      <c r="L14" s="8" t="inlineStr"/>
      <c r="M14" s="7" t="inlineStr">
        <is>
          <t>MOFU</t>
        </is>
      </c>
      <c r="N14" s="7" t="inlineStr">
        <is>
          <t>⬜ ایده</t>
        </is>
      </c>
      <c r="O14" s="7" t="inlineStr">
        <is>
          <t>نیکی</t>
        </is>
      </c>
      <c r="P14" s="8" t="inlineStr">
        <is>
          <t>کیس واقعی</t>
        </is>
      </c>
    </row>
    <row r="15">
      <c r="A15" s="5" t="n">
        <v>13</v>
      </c>
      <c r="B15" s="5" t="inlineStr">
        <is>
          <t>2026-09-26</t>
        </is>
      </c>
      <c r="C15" s="5" t="inlineStr">
        <is>
          <t>پنجشنبه</t>
        </is>
      </c>
      <c r="D15" s="5" t="inlineStr">
        <is>
          <t>۲۰:۳۰</t>
        </is>
      </c>
      <c r="E15" s="5" t="inlineStr">
        <is>
          <t>ریلز</t>
        </is>
      </c>
      <c r="F15" s="5" t="inlineStr">
        <is>
          <t>۳۰–۴۵s</t>
        </is>
      </c>
      <c r="G15" s="5" t="inlineStr">
        <is>
          <t>کامیونیتی</t>
        </is>
      </c>
      <c r="H15" s="5" t="inlineStr"/>
      <c r="I15" s="6" t="inlineStr"/>
      <c r="J15" s="6" t="inlineStr"/>
      <c r="K15" s="6" t="inlineStr"/>
      <c r="L15" s="6" t="inlineStr"/>
      <c r="M15" s="5" t="inlineStr">
        <is>
          <t>TOFU</t>
        </is>
      </c>
      <c r="N15" s="5" t="inlineStr">
        <is>
          <t>⬜ ایده</t>
        </is>
      </c>
      <c r="O15" s="5" t="inlineStr">
        <is>
          <t>نیکی</t>
        </is>
      </c>
      <c r="P15" s="6" t="inlineStr">
        <is>
          <t>پاسخ به دایرکت</t>
        </is>
      </c>
    </row>
    <row r="16">
      <c r="A16" s="7" t="n">
        <v>14</v>
      </c>
      <c r="B16" s="7" t="inlineStr">
        <is>
          <t>2026-09-27</t>
        </is>
      </c>
      <c r="C16" s="7" t="inlineStr">
        <is>
          <t>جمعه</t>
        </is>
      </c>
      <c r="D16" s="7" t="inlineStr">
        <is>
          <t>۱۱:۰۰</t>
        </is>
      </c>
      <c r="E16" s="7" t="inlineStr">
        <is>
          <t>استوری</t>
        </is>
      </c>
      <c r="F16" s="7" t="inlineStr">
        <is>
          <t>۳ فریم</t>
        </is>
      </c>
      <c r="G16" s="7" t="inlineStr">
        <is>
          <t>فروش</t>
        </is>
      </c>
      <c r="H16" s="7" t="inlineStr"/>
      <c r="I16" s="8" t="inlineStr"/>
      <c r="J16" s="8" t="inlineStr"/>
      <c r="K16" s="8" t="inlineStr"/>
      <c r="L16" s="8" t="inlineStr"/>
      <c r="M16" s="7" t="inlineStr">
        <is>
          <t>BOFU</t>
        </is>
      </c>
      <c r="N16" s="7" t="inlineStr">
        <is>
          <t>⬜ ایده</t>
        </is>
      </c>
      <c r="O16" s="7" t="inlineStr">
        <is>
          <t>نیکی</t>
        </is>
      </c>
      <c r="P16" s="8" t="inlineStr">
        <is>
          <t>فروش نرم</t>
        </is>
      </c>
    </row>
    <row r="17">
      <c r="A17" s="5" t="n">
        <v>15</v>
      </c>
      <c r="B17" s="5" t="inlineStr">
        <is>
          <t>2026-09-28</t>
        </is>
      </c>
      <c r="C17" s="5" t="inlineStr">
        <is>
          <t>شنبه</t>
        </is>
      </c>
      <c r="D17" s="5" t="inlineStr">
        <is>
          <t>۲۰:۳۰</t>
        </is>
      </c>
      <c r="E17" s="5" t="inlineStr">
        <is>
          <t>ریلز</t>
        </is>
      </c>
      <c r="F17" s="5" t="inlineStr">
        <is>
          <t>۲۰–۳۰s</t>
        </is>
      </c>
      <c r="G17" s="5" t="inlineStr">
        <is>
          <t>آموزشی</t>
        </is>
      </c>
      <c r="H17" s="5" t="inlineStr"/>
      <c r="I17" s="6" t="inlineStr"/>
      <c r="J17" s="6" t="inlineStr"/>
      <c r="K17" s="6" t="inlineStr"/>
      <c r="L17" s="6" t="inlineStr"/>
      <c r="M17" s="5" t="inlineStr">
        <is>
          <t>TOFU</t>
        </is>
      </c>
      <c r="N17" s="5" t="inlineStr">
        <is>
          <t>⬜ ایده</t>
        </is>
      </c>
      <c r="O17" s="5" t="inlineStr">
        <is>
          <t>نیکی</t>
        </is>
      </c>
      <c r="P17" s="6" t="inlineStr">
        <is>
          <t>آموزش سریع</t>
        </is>
      </c>
    </row>
    <row r="18">
      <c r="A18" s="7" t="n">
        <v>16</v>
      </c>
      <c r="B18" s="7" t="inlineStr">
        <is>
          <t>2026-09-29</t>
        </is>
      </c>
      <c r="C18" s="7" t="inlineStr">
        <is>
          <t>یکشنبه</t>
        </is>
      </c>
      <c r="D18" s="7" t="inlineStr">
        <is>
          <t>۱۳:۳۰</t>
        </is>
      </c>
      <c r="E18" s="7" t="inlineStr">
        <is>
          <t>کاروسل</t>
        </is>
      </c>
      <c r="F18" s="7" t="inlineStr">
        <is>
          <t>۸ اسلاید</t>
        </is>
      </c>
      <c r="G18" s="7" t="inlineStr">
        <is>
          <t>آموزشی</t>
        </is>
      </c>
      <c r="H18" s="7" t="inlineStr"/>
      <c r="I18" s="8" t="inlineStr"/>
      <c r="J18" s="8" t="inlineStr"/>
      <c r="K18" s="8" t="inlineStr"/>
      <c r="L18" s="8" t="inlineStr"/>
      <c r="M18" s="7" t="inlineStr">
        <is>
          <t>MOFU</t>
        </is>
      </c>
      <c r="N18" s="7" t="inlineStr">
        <is>
          <t>⬜ ایده</t>
        </is>
      </c>
      <c r="O18" s="7" t="inlineStr">
        <is>
          <t>نیکی</t>
        </is>
      </c>
      <c r="P18" s="8" t="inlineStr">
        <is>
          <t>چک‌لیست مرجع</t>
        </is>
      </c>
    </row>
    <row r="19">
      <c r="A19" s="5" t="n">
        <v>17</v>
      </c>
      <c r="B19" s="5" t="inlineStr">
        <is>
          <t>2026-09-30</t>
        </is>
      </c>
      <c r="C19" s="5" t="inlineStr">
        <is>
          <t>دوشنبه</t>
        </is>
      </c>
      <c r="D19" s="5" t="inlineStr">
        <is>
          <t>۱۰:۰۰</t>
        </is>
      </c>
      <c r="E19" s="5" t="inlineStr">
        <is>
          <t>استوری</t>
        </is>
      </c>
      <c r="F19" s="5" t="inlineStr">
        <is>
          <t>۵ فریم</t>
        </is>
      </c>
      <c r="G19" s="5" t="inlineStr">
        <is>
          <t>برند</t>
        </is>
      </c>
      <c r="H19" s="5" t="inlineStr"/>
      <c r="I19" s="6" t="inlineStr"/>
      <c r="J19" s="6" t="inlineStr"/>
      <c r="K19" s="6" t="inlineStr"/>
      <c r="L19" s="6" t="inlineStr"/>
      <c r="M19" s="5" t="inlineStr">
        <is>
          <t>MOFU</t>
        </is>
      </c>
      <c r="N19" s="5" t="inlineStr">
        <is>
          <t>⬜ ایده</t>
        </is>
      </c>
      <c r="O19" s="5" t="inlineStr">
        <is>
          <t>نیکی</t>
        </is>
      </c>
      <c r="P19" s="6" t="inlineStr">
        <is>
          <t>پشت‌صحنه</t>
        </is>
      </c>
    </row>
    <row r="20">
      <c r="A20" s="7" t="n">
        <v>18</v>
      </c>
      <c r="B20" s="7" t="inlineStr">
        <is>
          <t>2026-10-01</t>
        </is>
      </c>
      <c r="C20" s="7" t="inlineStr">
        <is>
          <t>سه‌شنبه</t>
        </is>
      </c>
      <c r="D20" s="7" t="inlineStr">
        <is>
          <t>۲۰:۳۰</t>
        </is>
      </c>
      <c r="E20" s="7" t="inlineStr">
        <is>
          <t>ریلز</t>
        </is>
      </c>
      <c r="F20" s="7" t="inlineStr">
        <is>
          <t>۱۵–۲۵s</t>
        </is>
      </c>
      <c r="G20" s="7" t="inlineStr">
        <is>
          <t>اختلافی</t>
        </is>
      </c>
      <c r="H20" s="7" t="inlineStr"/>
      <c r="I20" s="8" t="inlineStr"/>
      <c r="J20" s="8" t="inlineStr"/>
      <c r="K20" s="8" t="inlineStr"/>
      <c r="L20" s="8" t="inlineStr"/>
      <c r="M20" s="7" t="inlineStr">
        <is>
          <t>TOFU</t>
        </is>
      </c>
      <c r="N20" s="7" t="inlineStr">
        <is>
          <t>⬜ ایده</t>
        </is>
      </c>
      <c r="O20" s="7" t="inlineStr">
        <is>
          <t>نیکی</t>
        </is>
      </c>
      <c r="P20" s="8" t="inlineStr">
        <is>
          <t>باور غلط</t>
        </is>
      </c>
    </row>
    <row r="21">
      <c r="A21" s="5" t="n">
        <v>19</v>
      </c>
      <c r="B21" s="5" t="inlineStr">
        <is>
          <t>2026-10-02</t>
        </is>
      </c>
      <c r="C21" s="5" t="inlineStr">
        <is>
          <t>چهارشنبه</t>
        </is>
      </c>
      <c r="D21" s="5" t="inlineStr">
        <is>
          <t>۱۳:۳۰</t>
        </is>
      </c>
      <c r="E21" s="5" t="inlineStr">
        <is>
          <t>کاروسل</t>
        </is>
      </c>
      <c r="F21" s="5" t="inlineStr">
        <is>
          <t>۱۰ اسلاید</t>
        </is>
      </c>
      <c r="G21" s="5" t="inlineStr">
        <is>
          <t>اثبات اجتماعی</t>
        </is>
      </c>
      <c r="H21" s="5" t="inlineStr"/>
      <c r="I21" s="6" t="inlineStr"/>
      <c r="J21" s="6" t="inlineStr"/>
      <c r="K21" s="6" t="inlineStr"/>
      <c r="L21" s="6" t="inlineStr"/>
      <c r="M21" s="5" t="inlineStr">
        <is>
          <t>MOFU</t>
        </is>
      </c>
      <c r="N21" s="5" t="inlineStr">
        <is>
          <t>⬜ ایده</t>
        </is>
      </c>
      <c r="O21" s="5" t="inlineStr">
        <is>
          <t>نیکی</t>
        </is>
      </c>
      <c r="P21" s="6" t="inlineStr">
        <is>
          <t>کیس واقعی</t>
        </is>
      </c>
    </row>
    <row r="22">
      <c r="A22" s="7" t="n">
        <v>20</v>
      </c>
      <c r="B22" s="7" t="inlineStr">
        <is>
          <t>2026-10-03</t>
        </is>
      </c>
      <c r="C22" s="7" t="inlineStr">
        <is>
          <t>پنجشنبه</t>
        </is>
      </c>
      <c r="D22" s="7" t="inlineStr">
        <is>
          <t>۲۰:۳۰</t>
        </is>
      </c>
      <c r="E22" s="7" t="inlineStr">
        <is>
          <t>ریلز</t>
        </is>
      </c>
      <c r="F22" s="7" t="inlineStr">
        <is>
          <t>۳۰–۴۵s</t>
        </is>
      </c>
      <c r="G22" s="7" t="inlineStr">
        <is>
          <t>کامیونیتی</t>
        </is>
      </c>
      <c r="H22" s="7" t="inlineStr"/>
      <c r="I22" s="8" t="inlineStr"/>
      <c r="J22" s="8" t="inlineStr"/>
      <c r="K22" s="8" t="inlineStr"/>
      <c r="L22" s="8" t="inlineStr"/>
      <c r="M22" s="7" t="inlineStr">
        <is>
          <t>TOFU</t>
        </is>
      </c>
      <c r="N22" s="7" t="inlineStr">
        <is>
          <t>⬜ ایده</t>
        </is>
      </c>
      <c r="O22" s="7" t="inlineStr">
        <is>
          <t>نیکی</t>
        </is>
      </c>
      <c r="P22" s="8" t="inlineStr">
        <is>
          <t>پاسخ به دایرکت</t>
        </is>
      </c>
    </row>
    <row r="23">
      <c r="A23" s="5" t="n">
        <v>21</v>
      </c>
      <c r="B23" s="5" t="inlineStr">
        <is>
          <t>2026-10-04</t>
        </is>
      </c>
      <c r="C23" s="5" t="inlineStr">
        <is>
          <t>جمعه</t>
        </is>
      </c>
      <c r="D23" s="5" t="inlineStr">
        <is>
          <t>۱۱:۰۰</t>
        </is>
      </c>
      <c r="E23" s="5" t="inlineStr">
        <is>
          <t>استوری</t>
        </is>
      </c>
      <c r="F23" s="5" t="inlineStr">
        <is>
          <t>۳ فریم</t>
        </is>
      </c>
      <c r="G23" s="5" t="inlineStr">
        <is>
          <t>فروش</t>
        </is>
      </c>
      <c r="H23" s="5" t="inlineStr"/>
      <c r="I23" s="6" t="inlineStr"/>
      <c r="J23" s="6" t="inlineStr"/>
      <c r="K23" s="6" t="inlineStr"/>
      <c r="L23" s="6" t="inlineStr"/>
      <c r="M23" s="5" t="inlineStr">
        <is>
          <t>BOFU</t>
        </is>
      </c>
      <c r="N23" s="5" t="inlineStr">
        <is>
          <t>⬜ ایده</t>
        </is>
      </c>
      <c r="O23" s="5" t="inlineStr">
        <is>
          <t>نیکی</t>
        </is>
      </c>
      <c r="P23" s="6" t="inlineStr">
        <is>
          <t>فروش نرم</t>
        </is>
      </c>
    </row>
    <row r="24">
      <c r="A24" s="7" t="n">
        <v>22</v>
      </c>
      <c r="B24" s="7" t="inlineStr">
        <is>
          <t>2026-10-05</t>
        </is>
      </c>
      <c r="C24" s="7" t="inlineStr">
        <is>
          <t>شنبه</t>
        </is>
      </c>
      <c r="D24" s="7" t="inlineStr">
        <is>
          <t>۲۰:۳۰</t>
        </is>
      </c>
      <c r="E24" s="7" t="inlineStr">
        <is>
          <t>ریلز</t>
        </is>
      </c>
      <c r="F24" s="7" t="inlineStr">
        <is>
          <t>۲۰–۳۰s</t>
        </is>
      </c>
      <c r="G24" s="7" t="inlineStr">
        <is>
          <t>آموزشی</t>
        </is>
      </c>
      <c r="H24" s="7" t="inlineStr"/>
      <c r="I24" s="8" t="inlineStr"/>
      <c r="J24" s="8" t="inlineStr"/>
      <c r="K24" s="8" t="inlineStr"/>
      <c r="L24" s="8" t="inlineStr"/>
      <c r="M24" s="7" t="inlineStr">
        <is>
          <t>TOFU</t>
        </is>
      </c>
      <c r="N24" s="7" t="inlineStr">
        <is>
          <t>⬜ ایده</t>
        </is>
      </c>
      <c r="O24" s="7" t="inlineStr">
        <is>
          <t>نیکی</t>
        </is>
      </c>
      <c r="P24" s="8" t="inlineStr">
        <is>
          <t>آموزش سریع</t>
        </is>
      </c>
    </row>
    <row r="25">
      <c r="A25" s="5" t="n">
        <v>23</v>
      </c>
      <c r="B25" s="5" t="inlineStr">
        <is>
          <t>2026-10-06</t>
        </is>
      </c>
      <c r="C25" s="5" t="inlineStr">
        <is>
          <t>یکشنبه</t>
        </is>
      </c>
      <c r="D25" s="5" t="inlineStr">
        <is>
          <t>۱۳:۳۰</t>
        </is>
      </c>
      <c r="E25" s="5" t="inlineStr">
        <is>
          <t>کاروسل</t>
        </is>
      </c>
      <c r="F25" s="5" t="inlineStr">
        <is>
          <t>۸ اسلاید</t>
        </is>
      </c>
      <c r="G25" s="5" t="inlineStr">
        <is>
          <t>آموزشی</t>
        </is>
      </c>
      <c r="H25" s="5" t="inlineStr"/>
      <c r="I25" s="6" t="inlineStr"/>
      <c r="J25" s="6" t="inlineStr"/>
      <c r="K25" s="6" t="inlineStr"/>
      <c r="L25" s="6" t="inlineStr"/>
      <c r="M25" s="5" t="inlineStr">
        <is>
          <t>MOFU</t>
        </is>
      </c>
      <c r="N25" s="5" t="inlineStr">
        <is>
          <t>⬜ ایده</t>
        </is>
      </c>
      <c r="O25" s="5" t="inlineStr">
        <is>
          <t>نیکی</t>
        </is>
      </c>
      <c r="P25" s="6" t="inlineStr">
        <is>
          <t>چک‌لیست مرجع</t>
        </is>
      </c>
    </row>
    <row r="26">
      <c r="A26" s="7" t="n">
        <v>24</v>
      </c>
      <c r="B26" s="7" t="inlineStr">
        <is>
          <t>2026-10-07</t>
        </is>
      </c>
      <c r="C26" s="7" t="inlineStr">
        <is>
          <t>دوشنبه</t>
        </is>
      </c>
      <c r="D26" s="7" t="inlineStr">
        <is>
          <t>۱۰:۰۰</t>
        </is>
      </c>
      <c r="E26" s="7" t="inlineStr">
        <is>
          <t>استوری</t>
        </is>
      </c>
      <c r="F26" s="7" t="inlineStr">
        <is>
          <t>۵ فریم</t>
        </is>
      </c>
      <c r="G26" s="7" t="inlineStr">
        <is>
          <t>برند</t>
        </is>
      </c>
      <c r="H26" s="7" t="inlineStr"/>
      <c r="I26" s="8" t="inlineStr"/>
      <c r="J26" s="8" t="inlineStr"/>
      <c r="K26" s="8" t="inlineStr"/>
      <c r="L26" s="8" t="inlineStr"/>
      <c r="M26" s="7" t="inlineStr">
        <is>
          <t>MOFU</t>
        </is>
      </c>
      <c r="N26" s="7" t="inlineStr">
        <is>
          <t>⬜ ایده</t>
        </is>
      </c>
      <c r="O26" s="7" t="inlineStr">
        <is>
          <t>نیکی</t>
        </is>
      </c>
      <c r="P26" s="8" t="inlineStr">
        <is>
          <t>پشت‌صحنه</t>
        </is>
      </c>
    </row>
    <row r="27">
      <c r="A27" s="5" t="n">
        <v>25</v>
      </c>
      <c r="B27" s="5" t="inlineStr">
        <is>
          <t>2026-10-08</t>
        </is>
      </c>
      <c r="C27" s="5" t="inlineStr">
        <is>
          <t>سه‌شنبه</t>
        </is>
      </c>
      <c r="D27" s="5" t="inlineStr">
        <is>
          <t>۲۰:۳۰</t>
        </is>
      </c>
      <c r="E27" s="5" t="inlineStr">
        <is>
          <t>ریلز</t>
        </is>
      </c>
      <c r="F27" s="5" t="inlineStr">
        <is>
          <t>۱۵–۲۵s</t>
        </is>
      </c>
      <c r="G27" s="5" t="inlineStr">
        <is>
          <t>اختلافی</t>
        </is>
      </c>
      <c r="H27" s="5" t="inlineStr"/>
      <c r="I27" s="6" t="inlineStr"/>
      <c r="J27" s="6" t="inlineStr"/>
      <c r="K27" s="6" t="inlineStr"/>
      <c r="L27" s="6" t="inlineStr"/>
      <c r="M27" s="5" t="inlineStr">
        <is>
          <t>TOFU</t>
        </is>
      </c>
      <c r="N27" s="5" t="inlineStr">
        <is>
          <t>⬜ ایده</t>
        </is>
      </c>
      <c r="O27" s="5" t="inlineStr">
        <is>
          <t>نیکی</t>
        </is>
      </c>
      <c r="P27" s="6" t="inlineStr">
        <is>
          <t>باور غلط</t>
        </is>
      </c>
    </row>
    <row r="28">
      <c r="A28" s="7" t="n">
        <v>26</v>
      </c>
      <c r="B28" s="7" t="inlineStr">
        <is>
          <t>2026-10-09</t>
        </is>
      </c>
      <c r="C28" s="7" t="inlineStr">
        <is>
          <t>چهارشنبه</t>
        </is>
      </c>
      <c r="D28" s="7" t="inlineStr">
        <is>
          <t>۱۳:۳۰</t>
        </is>
      </c>
      <c r="E28" s="7" t="inlineStr">
        <is>
          <t>کاروسل</t>
        </is>
      </c>
      <c r="F28" s="7" t="inlineStr">
        <is>
          <t>۱۰ اسلاید</t>
        </is>
      </c>
      <c r="G28" s="7" t="inlineStr">
        <is>
          <t>اثبات اجتماعی</t>
        </is>
      </c>
      <c r="H28" s="7" t="inlineStr"/>
      <c r="I28" s="8" t="inlineStr"/>
      <c r="J28" s="8" t="inlineStr"/>
      <c r="K28" s="8" t="inlineStr"/>
      <c r="L28" s="8" t="inlineStr"/>
      <c r="M28" s="7" t="inlineStr">
        <is>
          <t>MOFU</t>
        </is>
      </c>
      <c r="N28" s="7" t="inlineStr">
        <is>
          <t>⬜ ایده</t>
        </is>
      </c>
      <c r="O28" s="7" t="inlineStr">
        <is>
          <t>نیکی</t>
        </is>
      </c>
      <c r="P28" s="8" t="inlineStr">
        <is>
          <t>کیس واقعی</t>
        </is>
      </c>
    </row>
    <row r="29">
      <c r="A29" s="5" t="n">
        <v>27</v>
      </c>
      <c r="B29" s="5" t="inlineStr">
        <is>
          <t>2026-10-10</t>
        </is>
      </c>
      <c r="C29" s="5" t="inlineStr">
        <is>
          <t>پنجشنبه</t>
        </is>
      </c>
      <c r="D29" s="5" t="inlineStr">
        <is>
          <t>۲۰:۳۰</t>
        </is>
      </c>
      <c r="E29" s="5" t="inlineStr">
        <is>
          <t>ریلز</t>
        </is>
      </c>
      <c r="F29" s="5" t="inlineStr">
        <is>
          <t>۳۰–۴۵s</t>
        </is>
      </c>
      <c r="G29" s="5" t="inlineStr">
        <is>
          <t>کامیونیتی</t>
        </is>
      </c>
      <c r="H29" s="5" t="inlineStr"/>
      <c r="I29" s="6" t="inlineStr"/>
      <c r="J29" s="6" t="inlineStr"/>
      <c r="K29" s="6" t="inlineStr"/>
      <c r="L29" s="6" t="inlineStr"/>
      <c r="M29" s="5" t="inlineStr">
        <is>
          <t>TOFU</t>
        </is>
      </c>
      <c r="N29" s="5" t="inlineStr">
        <is>
          <t>⬜ ایده</t>
        </is>
      </c>
      <c r="O29" s="5" t="inlineStr">
        <is>
          <t>نیکی</t>
        </is>
      </c>
      <c r="P29" s="6" t="inlineStr">
        <is>
          <t>پاسخ به دایرکت</t>
        </is>
      </c>
    </row>
    <row r="30">
      <c r="A30" s="7" t="n">
        <v>28</v>
      </c>
      <c r="B30" s="7" t="inlineStr">
        <is>
          <t>2026-10-11</t>
        </is>
      </c>
      <c r="C30" s="7" t="inlineStr">
        <is>
          <t>جمعه</t>
        </is>
      </c>
      <c r="D30" s="7" t="inlineStr">
        <is>
          <t>۱۱:۰۰</t>
        </is>
      </c>
      <c r="E30" s="7" t="inlineStr">
        <is>
          <t>استوری</t>
        </is>
      </c>
      <c r="F30" s="7" t="inlineStr">
        <is>
          <t>۳ فریم</t>
        </is>
      </c>
      <c r="G30" s="7" t="inlineStr">
        <is>
          <t>فروش</t>
        </is>
      </c>
      <c r="H30" s="7" t="inlineStr"/>
      <c r="I30" s="8" t="inlineStr"/>
      <c r="J30" s="8" t="inlineStr"/>
      <c r="K30" s="8" t="inlineStr"/>
      <c r="L30" s="8" t="inlineStr"/>
      <c r="M30" s="7" t="inlineStr">
        <is>
          <t>BOFU</t>
        </is>
      </c>
      <c r="N30" s="7" t="inlineStr">
        <is>
          <t>⬜ ایده</t>
        </is>
      </c>
      <c r="O30" s="7" t="inlineStr">
        <is>
          <t>نیکی</t>
        </is>
      </c>
      <c r="P30" s="8" t="inlineStr">
        <is>
          <t>فروش نرم</t>
        </is>
      </c>
    </row>
  </sheetData>
  <mergeCells count="1">
    <mergeCell ref="A1:P1"/>
  </mergeCells>
  <dataValidations count="3">
    <dataValidation sqref="E3:E30" showDropDown="0" showInputMessage="0" showErrorMessage="0" allowBlank="1" type="list">
      <formula1>"ریلز,کاروسل,تک‌عکس,استوری,لایو"</formula1>
    </dataValidation>
    <dataValidation sqref="N3:N30" showDropDown="0" showInputMessage="0" showErrorMessage="0" allowBlank="1" type="list">
      <formula1>"⬜ ایده,🟡 در حال نوشتن,🎬 ضبط,✂️ ادیت,✅ آماده,🚀 منتشر شد"</formula1>
    </dataValidation>
    <dataValidation sqref="M3:M30" showDropDown="0" showInputMessage="0" showErrorMessage="0" allowBlank="1" type="list">
      <formula1>"TOFU,MOFU,BOFU"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4" customWidth="1" min="3" max="3"/>
    <col width="12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6" customWidth="1" min="12" max="12"/>
    <col width="30" customWidth="1" min="13" max="13"/>
    <col width="30" customWidth="1" min="14" max="14"/>
  </cols>
  <sheetData>
    <row r="1" ht="30" customHeight="1">
      <c r="A1" s="9" t="inlineStr">
        <is>
          <t>💡 مخزن ایده — امتیازدهی ICE-S (آستانه ورود به تقویم: ۷۵)</t>
        </is>
      </c>
    </row>
    <row r="2" ht="34" customHeight="1">
      <c r="A2" s="4" t="inlineStr">
        <is>
          <t>#</t>
        </is>
      </c>
      <c r="B2" s="4" t="inlineStr">
        <is>
          <t>ایده</t>
        </is>
      </c>
      <c r="C2" s="4" t="inlineStr">
        <is>
          <t>ستون</t>
        </is>
      </c>
      <c r="D2" s="4" t="inlineStr">
        <is>
          <t>پرسونا</t>
        </is>
      </c>
      <c r="E2" s="4" t="inlineStr">
        <is>
          <t>فرمت</t>
        </is>
      </c>
      <c r="F2" s="4" t="inlineStr">
        <is>
          <t>ماتریس خلاقیت</t>
        </is>
      </c>
      <c r="G2" s="4" t="inlineStr">
        <is>
          <t>I اثر (۰–۱۰)</t>
        </is>
      </c>
      <c r="H2" s="4" t="inlineStr">
        <is>
          <t>C اطمینان (۰–۱۰)</t>
        </is>
      </c>
      <c r="I2" s="4" t="inlineStr">
        <is>
          <t>E سهولت (۰–۱۰)</t>
        </is>
      </c>
      <c r="J2" s="4" t="inlineStr">
        <is>
          <t>S ارسال‌پذیری (۰–۱۰)</t>
        </is>
      </c>
      <c r="K2" s="4" t="inlineStr">
        <is>
          <t>امتیاز از ۱۰۰</t>
        </is>
      </c>
      <c r="L2" s="4" t="inlineStr">
        <is>
          <t>حکم</t>
        </is>
      </c>
      <c r="M2" s="4" t="inlineStr">
        <is>
          <t>هوک پیشنهادی</t>
        </is>
      </c>
      <c r="N2" s="4" t="inlineStr">
        <is>
          <t>چرا می‌فرستندش</t>
        </is>
      </c>
    </row>
    <row r="3">
      <c r="A3" s="5" t="n">
        <v>1</v>
      </c>
      <c r="B3" s="6" t="inlineStr">
        <is>
          <t>سه اشتباهی که در ۳۰ روز اول [کار] نتیجه را از بین می‌برد</t>
        </is>
      </c>
      <c r="C3" s="5" t="inlineStr">
        <is>
          <t>آموزشی</t>
        </is>
      </c>
      <c r="D3" s="5" t="n"/>
      <c r="E3" s="5" t="inlineStr">
        <is>
          <t>ریلز</t>
        </is>
      </c>
      <c r="F3" s="5" t="inlineStr">
        <is>
          <t>باور غلط</t>
        </is>
      </c>
      <c r="G3" s="5" t="n">
        <v>8</v>
      </c>
      <c r="H3" s="5" t="n">
        <v>7</v>
      </c>
      <c r="I3" s="5" t="n">
        <v>6</v>
      </c>
      <c r="J3" s="5" t="n">
        <v>9</v>
      </c>
      <c r="K3" s="5">
        <f>(G3*0.3+H3*0.2+I3*0.2+J3*0.3)*10</f>
        <v/>
      </c>
      <c r="L3" s="5">
        <f>IF(K3&gt;=75,"✅ ورود به تقویم",IF(K3&gt;=60,"🟡 ذخیره در backlog","❌ رد"))</f>
        <v/>
      </c>
      <c r="M3" s="6" t="n"/>
      <c r="N3" s="6" t="n"/>
    </row>
    <row r="4">
      <c r="A4" s="7" t="n">
        <v>2</v>
      </c>
      <c r="B4" s="8" t="inlineStr">
        <is>
          <t>چک‌لیست کامل [کار] — نسخه قابل چاپ</t>
        </is>
      </c>
      <c r="C4" s="7" t="inlineStr">
        <is>
          <t>آموزشی</t>
        </is>
      </c>
      <c r="D4" s="7" t="n"/>
      <c r="E4" s="7" t="inlineStr">
        <is>
          <t>کاروسل</t>
        </is>
      </c>
      <c r="F4" s="7" t="inlineStr">
        <is>
          <t>عدد و داده</t>
        </is>
      </c>
      <c r="G4" s="7" t="n">
        <v>8</v>
      </c>
      <c r="H4" s="7" t="n">
        <v>7</v>
      </c>
      <c r="I4" s="7" t="n">
        <v>6</v>
      </c>
      <c r="J4" s="7" t="n">
        <v>9</v>
      </c>
      <c r="K4" s="7">
        <f>(G4*0.3+H4*0.2+I4*0.2+J4*0.3)*10</f>
        <v/>
      </c>
      <c r="L4" s="7">
        <f>IF(K4&gt;=75,"✅ ورود به تقویم",IF(K4&gt;=60,"🟡 ذخیره در backlog","❌ رد"))</f>
        <v/>
      </c>
      <c r="M4" s="8" t="n"/>
      <c r="N4" s="8" t="n"/>
    </row>
    <row r="5">
      <c r="A5" s="5" t="n">
        <v>3</v>
      </c>
      <c r="B5" s="6" t="inlineStr">
        <is>
          <t>چیزی که [حرفه‌ای‌ها] درباره [موضوع] نمی‌گویند</t>
        </is>
      </c>
      <c r="C5" s="5" t="inlineStr">
        <is>
          <t>اختلافی</t>
        </is>
      </c>
      <c r="D5" s="5" t="n"/>
      <c r="E5" s="5" t="inlineStr">
        <is>
          <t>ریلز</t>
        </is>
      </c>
      <c r="F5" s="5" t="inlineStr">
        <is>
          <t>باور غلط</t>
        </is>
      </c>
      <c r="G5" s="5" t="n">
        <v>8</v>
      </c>
      <c r="H5" s="5" t="n">
        <v>7</v>
      </c>
      <c r="I5" s="5" t="n">
        <v>6</v>
      </c>
      <c r="J5" s="5" t="n">
        <v>9</v>
      </c>
      <c r="K5" s="5">
        <f>(G5*0.3+H5*0.2+I5*0.2+J5*0.3)*10</f>
        <v/>
      </c>
      <c r="L5" s="5">
        <f>IF(K5&gt;=75,"✅ ورود به تقویم",IF(K5&gt;=60,"🟡 ذخیره در backlog","❌ رد"))</f>
        <v/>
      </c>
      <c r="M5" s="6" t="n"/>
      <c r="N5" s="6" t="n"/>
    </row>
    <row r="6">
      <c r="A6" s="7" t="n">
        <v>4</v>
      </c>
      <c r="B6" s="8" t="inlineStr">
        <is>
          <t>کیس واقعی: از [قبل] به [بعد] در [مدت]</t>
        </is>
      </c>
      <c r="C6" s="7" t="inlineStr">
        <is>
          <t>اثبات اجتماعی</t>
        </is>
      </c>
      <c r="D6" s="7" t="n"/>
      <c r="E6" s="7" t="inlineStr">
        <is>
          <t>کاروسل</t>
        </is>
      </c>
      <c r="F6" s="7" t="inlineStr">
        <is>
          <t>قبل/بعد</t>
        </is>
      </c>
      <c r="G6" s="7" t="n">
        <v>8</v>
      </c>
      <c r="H6" s="7" t="n">
        <v>7</v>
      </c>
      <c r="I6" s="7" t="n">
        <v>6</v>
      </c>
      <c r="J6" s="7" t="n">
        <v>9</v>
      </c>
      <c r="K6" s="7">
        <f>(G6*0.3+H6*0.2+I6*0.2+J6*0.3)*10</f>
        <v/>
      </c>
      <c r="L6" s="7">
        <f>IF(K6&gt;=75,"✅ ورود به تقویم",IF(K6&gt;=60,"🟡 ذخیره در backlog","❌ رد"))</f>
        <v/>
      </c>
      <c r="M6" s="8" t="n"/>
      <c r="N6" s="8" t="n"/>
    </row>
    <row r="7">
      <c r="A7" s="5" t="n">
        <v>5</v>
      </c>
      <c r="B7" s="6" t="inlineStr">
        <is>
          <t>پاسخ به پرتکرارترین سوال دایرکت ما</t>
        </is>
      </c>
      <c r="C7" s="5" t="inlineStr">
        <is>
          <t>کامیونیتی</t>
        </is>
      </c>
      <c r="D7" s="5" t="n"/>
      <c r="E7" s="5" t="inlineStr">
        <is>
          <t>ریلز</t>
        </is>
      </c>
      <c r="F7" s="5" t="inlineStr">
        <is>
          <t>سوال پرتکرار</t>
        </is>
      </c>
      <c r="G7" s="5" t="n">
        <v>8</v>
      </c>
      <c r="H7" s="5" t="n">
        <v>7</v>
      </c>
      <c r="I7" s="5" t="n">
        <v>6</v>
      </c>
      <c r="J7" s="5" t="n">
        <v>9</v>
      </c>
      <c r="K7" s="5">
        <f>(G7*0.3+H7*0.2+I7*0.2+J7*0.3)*10</f>
        <v/>
      </c>
      <c r="L7" s="5">
        <f>IF(K7&gt;=75,"✅ ورود به تقویم",IF(K7&gt;=60,"🟡 ذخیره در backlog","❌ رد"))</f>
        <v/>
      </c>
      <c r="M7" s="6" t="n"/>
      <c r="N7" s="6" t="n"/>
    </row>
    <row r="8">
      <c r="A8" s="7" t="n">
        <v>6</v>
      </c>
      <c r="B8" s="8" t="n"/>
      <c r="C8" s="7" t="n"/>
      <c r="D8" s="7" t="n"/>
      <c r="E8" s="7" t="n"/>
      <c r="F8" s="7" t="n"/>
      <c r="G8" s="7" t="n"/>
      <c r="H8" s="7" t="n"/>
      <c r="I8" s="7" t="n"/>
      <c r="J8" s="7" t="n"/>
      <c r="K8" s="7">
        <f>IF(COUNT(G8:J8)=0,"",(G8*0.3+H8*0.2+I8*0.2+J8*0.3)*10)</f>
        <v/>
      </c>
      <c r="L8" s="7">
        <f>IF(K8="","",IF(K8&gt;=75,"✅ ورود به تقویم",IF(K8&gt;=60,"🟡 ذخیره","❌ رد")))</f>
        <v/>
      </c>
      <c r="M8" s="8" t="n"/>
      <c r="N8" s="8" t="n"/>
    </row>
    <row r="9">
      <c r="A9" s="5" t="n">
        <v>7</v>
      </c>
      <c r="B9" s="6" t="n"/>
      <c r="C9" s="5" t="n"/>
      <c r="D9" s="5" t="n"/>
      <c r="E9" s="5" t="n"/>
      <c r="F9" s="5" t="n"/>
      <c r="G9" s="5" t="n"/>
      <c r="H9" s="5" t="n"/>
      <c r="I9" s="5" t="n"/>
      <c r="J9" s="5" t="n"/>
      <c r="K9" s="5">
        <f>IF(COUNT(G9:J9)=0,"",(G9*0.3+H9*0.2+I9*0.2+J9*0.3)*10)</f>
        <v/>
      </c>
      <c r="L9" s="5">
        <f>IF(K9="","",IF(K9&gt;=75,"✅ ورود به تقویم",IF(K9&gt;=60,"🟡 ذخیره","❌ رد")))</f>
        <v/>
      </c>
      <c r="M9" s="6" t="n"/>
      <c r="N9" s="6" t="n"/>
    </row>
    <row r="10">
      <c r="A10" s="7" t="n">
        <v>8</v>
      </c>
      <c r="B10" s="8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>
        <f>IF(COUNT(G10:J10)=0,"",(G10*0.3+H10*0.2+I10*0.2+J10*0.3)*10)</f>
        <v/>
      </c>
      <c r="L10" s="7">
        <f>IF(K10="","",IF(K10&gt;=75,"✅ ورود به تقویم",IF(K10&gt;=60,"🟡 ذخیره","❌ رد")))</f>
        <v/>
      </c>
      <c r="M10" s="8" t="n"/>
      <c r="N10" s="8" t="n"/>
    </row>
    <row r="11">
      <c r="A11" s="5" t="n">
        <v>9</v>
      </c>
      <c r="B11" s="6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>
        <f>IF(COUNT(G11:J11)=0,"",(G11*0.3+H11*0.2+I11*0.2+J11*0.3)*10)</f>
        <v/>
      </c>
      <c r="L11" s="5">
        <f>IF(K11="","",IF(K11&gt;=75,"✅ ورود به تقویم",IF(K11&gt;=60,"🟡 ذخیره","❌ رد")))</f>
        <v/>
      </c>
      <c r="M11" s="6" t="n"/>
      <c r="N11" s="6" t="n"/>
    </row>
    <row r="12">
      <c r="A12" s="7" t="n">
        <v>10</v>
      </c>
      <c r="B12" s="8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>
        <f>IF(COUNT(G12:J12)=0,"",(G12*0.3+H12*0.2+I12*0.2+J12*0.3)*10)</f>
        <v/>
      </c>
      <c r="L12" s="7">
        <f>IF(K12="","",IF(K12&gt;=75,"✅ ورود به تقویم",IF(K12&gt;=60,"🟡 ذخیره","❌ رد")))</f>
        <v/>
      </c>
      <c r="M12" s="8" t="n"/>
      <c r="N12" s="8" t="n"/>
    </row>
    <row r="13">
      <c r="A13" s="5" t="n">
        <v>11</v>
      </c>
      <c r="B13" s="6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>
        <f>IF(COUNT(G13:J13)=0,"",(G13*0.3+H13*0.2+I13*0.2+J13*0.3)*10)</f>
        <v/>
      </c>
      <c r="L13" s="5">
        <f>IF(K13="","",IF(K13&gt;=75,"✅ ورود به تقویم",IF(K13&gt;=60,"🟡 ذخیره","❌ رد")))</f>
        <v/>
      </c>
      <c r="M13" s="6" t="n"/>
      <c r="N13" s="6" t="n"/>
    </row>
    <row r="14">
      <c r="A14" s="7" t="n">
        <v>12</v>
      </c>
      <c r="B14" s="8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>
        <f>IF(COUNT(G14:J14)=0,"",(G14*0.3+H14*0.2+I14*0.2+J14*0.3)*10)</f>
        <v/>
      </c>
      <c r="L14" s="7">
        <f>IF(K14="","",IF(K14&gt;=75,"✅ ورود به تقویم",IF(K14&gt;=60,"🟡 ذخیره","❌ رد")))</f>
        <v/>
      </c>
      <c r="M14" s="8" t="n"/>
      <c r="N14" s="8" t="n"/>
    </row>
    <row r="15">
      <c r="A15" s="5" t="n">
        <v>13</v>
      </c>
      <c r="B15" s="6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>
        <f>IF(COUNT(G15:J15)=0,"",(G15*0.3+H15*0.2+I15*0.2+J15*0.3)*10)</f>
        <v/>
      </c>
      <c r="L15" s="5">
        <f>IF(K15="","",IF(K15&gt;=75,"✅ ورود به تقویم",IF(K15&gt;=60,"🟡 ذخیره","❌ رد")))</f>
        <v/>
      </c>
      <c r="M15" s="6" t="n"/>
      <c r="N15" s="6" t="n"/>
    </row>
    <row r="16">
      <c r="A16" s="7" t="n">
        <v>14</v>
      </c>
      <c r="B16" s="8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>
        <f>IF(COUNT(G16:J16)=0,"",(G16*0.3+H16*0.2+I16*0.2+J16*0.3)*10)</f>
        <v/>
      </c>
      <c r="L16" s="7">
        <f>IF(K16="","",IF(K16&gt;=75,"✅ ورود به تقویم",IF(K16&gt;=60,"🟡 ذخیره","❌ رد")))</f>
        <v/>
      </c>
      <c r="M16" s="8" t="n"/>
      <c r="N16" s="8" t="n"/>
    </row>
    <row r="17">
      <c r="A17" s="5" t="n">
        <v>15</v>
      </c>
      <c r="B17" s="6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>
        <f>IF(COUNT(G17:J17)=0,"",(G17*0.3+H17*0.2+I17*0.2+J17*0.3)*10)</f>
        <v/>
      </c>
      <c r="L17" s="5">
        <f>IF(K17="","",IF(K17&gt;=75,"✅ ورود به تقویم",IF(K17&gt;=60,"🟡 ذخیره","❌ رد")))</f>
        <v/>
      </c>
      <c r="M17" s="6" t="n"/>
      <c r="N17" s="6" t="n"/>
    </row>
    <row r="18">
      <c r="A18" s="7" t="n">
        <v>16</v>
      </c>
      <c r="B18" s="8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>
        <f>IF(COUNT(G18:J18)=0,"",(G18*0.3+H18*0.2+I18*0.2+J18*0.3)*10)</f>
        <v/>
      </c>
      <c r="L18" s="7">
        <f>IF(K18="","",IF(K18&gt;=75,"✅ ورود به تقویم",IF(K18&gt;=60,"🟡 ذخیره","❌ رد")))</f>
        <v/>
      </c>
      <c r="M18" s="8" t="n"/>
      <c r="N18" s="8" t="n"/>
    </row>
    <row r="19">
      <c r="A19" s="5" t="n">
        <v>17</v>
      </c>
      <c r="B19" s="6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>
        <f>IF(COUNT(G19:J19)=0,"",(G19*0.3+H19*0.2+I19*0.2+J19*0.3)*10)</f>
        <v/>
      </c>
      <c r="L19" s="5">
        <f>IF(K19="","",IF(K19&gt;=75,"✅ ورود به تقویم",IF(K19&gt;=60,"🟡 ذخیره","❌ رد")))</f>
        <v/>
      </c>
      <c r="M19" s="6" t="n"/>
      <c r="N19" s="6" t="n"/>
    </row>
    <row r="20">
      <c r="A20" s="7" t="n">
        <v>18</v>
      </c>
      <c r="B20" s="8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>
        <f>IF(COUNT(G20:J20)=0,"",(G20*0.3+H20*0.2+I20*0.2+J20*0.3)*10)</f>
        <v/>
      </c>
      <c r="L20" s="7">
        <f>IF(K20="","",IF(K20&gt;=75,"✅ ورود به تقویم",IF(K20&gt;=60,"🟡 ذخیره","❌ رد")))</f>
        <v/>
      </c>
      <c r="M20" s="8" t="n"/>
      <c r="N20" s="8" t="n"/>
    </row>
    <row r="21">
      <c r="A21" s="5" t="n">
        <v>19</v>
      </c>
      <c r="B21" s="6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>
        <f>IF(COUNT(G21:J21)=0,"",(G21*0.3+H21*0.2+I21*0.2+J21*0.3)*10)</f>
        <v/>
      </c>
      <c r="L21" s="5">
        <f>IF(K21="","",IF(K21&gt;=75,"✅ ورود به تقویم",IF(K21&gt;=60,"🟡 ذخیره","❌ رد")))</f>
        <v/>
      </c>
      <c r="M21" s="6" t="n"/>
      <c r="N21" s="6" t="n"/>
    </row>
    <row r="22">
      <c r="A22" s="7" t="n">
        <v>20</v>
      </c>
      <c r="B22" s="8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>
        <f>IF(COUNT(G22:J22)=0,"",(G22*0.3+H22*0.2+I22*0.2+J22*0.3)*10)</f>
        <v/>
      </c>
      <c r="L22" s="7">
        <f>IF(K22="","",IF(K22&gt;=75,"✅ ورود به تقویم",IF(K22&gt;=60,"🟡 ذخیره","❌ رد")))</f>
        <v/>
      </c>
      <c r="M22" s="8" t="n"/>
      <c r="N22" s="8" t="n"/>
    </row>
    <row r="23">
      <c r="A23" s="5" t="n">
        <v>21</v>
      </c>
      <c r="B23" s="6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>
        <f>IF(COUNT(G23:J23)=0,"",(G23*0.3+H23*0.2+I23*0.2+J23*0.3)*10)</f>
        <v/>
      </c>
      <c r="L23" s="5">
        <f>IF(K23="","",IF(K23&gt;=75,"✅ ورود به تقویم",IF(K23&gt;=60,"🟡 ذخیره","❌ رد")))</f>
        <v/>
      </c>
      <c r="M23" s="6" t="n"/>
      <c r="N23" s="6" t="n"/>
    </row>
    <row r="24">
      <c r="A24" s="7" t="n">
        <v>22</v>
      </c>
      <c r="B24" s="8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>
        <f>IF(COUNT(G24:J24)=0,"",(G24*0.3+H24*0.2+I24*0.2+J24*0.3)*10)</f>
        <v/>
      </c>
      <c r="L24" s="7">
        <f>IF(K24="","",IF(K24&gt;=75,"✅ ورود به تقویم",IF(K24&gt;=60,"🟡 ذخیره","❌ رد")))</f>
        <v/>
      </c>
      <c r="M24" s="8" t="n"/>
      <c r="N24" s="8" t="n"/>
    </row>
    <row r="25">
      <c r="A25" s="5" t="n">
        <v>23</v>
      </c>
      <c r="B25" s="6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>
        <f>IF(COUNT(G25:J25)=0,"",(G25*0.3+H25*0.2+I25*0.2+J25*0.3)*10)</f>
        <v/>
      </c>
      <c r="L25" s="5">
        <f>IF(K25="","",IF(K25&gt;=75,"✅ ورود به تقویم",IF(K25&gt;=60,"🟡 ذخیره","❌ رد")))</f>
        <v/>
      </c>
      <c r="M25" s="6" t="n"/>
      <c r="N25" s="6" t="n"/>
    </row>
    <row r="26">
      <c r="A26" s="7" t="n">
        <v>24</v>
      </c>
      <c r="B26" s="8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>
        <f>IF(COUNT(G26:J26)=0,"",(G26*0.3+H26*0.2+I26*0.2+J26*0.3)*10)</f>
        <v/>
      </c>
      <c r="L26" s="7">
        <f>IF(K26="","",IF(K26&gt;=75,"✅ ورود به تقویم",IF(K26&gt;=60,"🟡 ذخیره","❌ رد")))</f>
        <v/>
      </c>
      <c r="M26" s="8" t="n"/>
      <c r="N26" s="8" t="n"/>
    </row>
    <row r="27">
      <c r="A27" s="5" t="n">
        <v>25</v>
      </c>
      <c r="B27" s="6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>
        <f>IF(COUNT(G27:J27)=0,"",(G27*0.3+H27*0.2+I27*0.2+J27*0.3)*10)</f>
        <v/>
      </c>
      <c r="L27" s="5">
        <f>IF(K27="","",IF(K27&gt;=75,"✅ ورود به تقویم",IF(K27&gt;=60,"🟡 ذخیره","❌ رد")))</f>
        <v/>
      </c>
      <c r="M27" s="6" t="n"/>
      <c r="N27" s="6" t="n"/>
    </row>
    <row r="28">
      <c r="A28" s="7" t="n">
        <v>26</v>
      </c>
      <c r="B28" s="8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>
        <f>IF(COUNT(G28:J28)=0,"",(G28*0.3+H28*0.2+I28*0.2+J28*0.3)*10)</f>
        <v/>
      </c>
      <c r="L28" s="7">
        <f>IF(K28="","",IF(K28&gt;=75,"✅ ورود به تقویم",IF(K28&gt;=60,"🟡 ذخیره","❌ رد")))</f>
        <v/>
      </c>
      <c r="M28" s="8" t="n"/>
      <c r="N28" s="8" t="n"/>
    </row>
    <row r="29">
      <c r="A29" s="5" t="n">
        <v>27</v>
      </c>
      <c r="B29" s="6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>
        <f>IF(COUNT(G29:J29)=0,"",(G29*0.3+H29*0.2+I29*0.2+J29*0.3)*10)</f>
        <v/>
      </c>
      <c r="L29" s="5">
        <f>IF(K29="","",IF(K29&gt;=75,"✅ ورود به تقویم",IF(K29&gt;=60,"🟡 ذخیره","❌ رد")))</f>
        <v/>
      </c>
      <c r="M29" s="6" t="n"/>
      <c r="N29" s="6" t="n"/>
    </row>
    <row r="30">
      <c r="A30" s="7" t="n">
        <v>28</v>
      </c>
      <c r="B30" s="8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>
        <f>IF(COUNT(G30:J30)=0,"",(G30*0.3+H30*0.2+I30*0.2+J30*0.3)*10)</f>
        <v/>
      </c>
      <c r="L30" s="7">
        <f>IF(K30="","",IF(K30&gt;=75,"✅ ورود به تقویم",IF(K30&gt;=60,"🟡 ذخیره","❌ رد")))</f>
        <v/>
      </c>
      <c r="M30" s="8" t="n"/>
      <c r="N30" s="8" t="n"/>
    </row>
    <row r="31">
      <c r="A31" s="5" t="n">
        <v>29</v>
      </c>
      <c r="B31" s="6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>
        <f>IF(COUNT(G31:J31)=0,"",(G31*0.3+H31*0.2+I31*0.2+J31*0.3)*10)</f>
        <v/>
      </c>
      <c r="L31" s="5">
        <f>IF(K31="","",IF(K31&gt;=75,"✅ ورود به تقویم",IF(K31&gt;=60,"🟡 ذخیره","❌ رد")))</f>
        <v/>
      </c>
      <c r="M31" s="6" t="n"/>
      <c r="N31" s="6" t="n"/>
    </row>
    <row r="32">
      <c r="A32" s="7" t="n">
        <v>30</v>
      </c>
      <c r="B32" s="8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>
        <f>IF(COUNT(G32:J32)=0,"",(G32*0.3+H32*0.2+I32*0.2+J32*0.3)*10)</f>
        <v/>
      </c>
      <c r="L32" s="7">
        <f>IF(K32="","",IF(K32&gt;=75,"✅ ورود به تقویم",IF(K32&gt;=60,"🟡 ذخیره","❌ رد")))</f>
        <v/>
      </c>
      <c r="M32" s="8" t="n"/>
      <c r="N32" s="8" t="n"/>
    </row>
  </sheetData>
  <mergeCells count="1">
    <mergeCell ref="A1:N1"/>
  </mergeCells>
  <conditionalFormatting sqref="K3:K32">
    <cfRule type="cellIs" priority="1" operator="greaterThanOrEqual" dxfId="0">
      <formula>75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2"/>
  <sheetViews>
    <sheetView rightToLeft="1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8" customWidth="1" min="11" max="11"/>
    <col width="9" customWidth="1" min="12" max="12"/>
    <col width="12" customWidth="1" min="13" max="13"/>
    <col width="11" customWidth="1" min="14" max="14"/>
    <col width="10" customWidth="1" min="15" max="15"/>
    <col width="11" customWidth="1" min="16" max="16"/>
    <col width="12" customWidth="1" min="17" max="17"/>
    <col width="12" customWidth="1" min="18" max="18"/>
    <col width="12" customWidth="1" min="19" max="19"/>
    <col width="12" customWidth="1" min="20" max="20"/>
    <col width="11" customWidth="1" min="21" max="21"/>
  </cols>
  <sheetData>
    <row r="1" ht="30" customHeight="1">
      <c r="A1" s="10" t="inlineStr">
        <is>
          <t>📈 ثبت عملکرد — ستون‌های ۱۶ تا ۲۱ خودکار محاسبه می‌شوند</t>
        </is>
      </c>
    </row>
    <row r="2" ht="34" customHeight="1">
      <c r="A2" s="4" t="inlineStr">
        <is>
          <t>#</t>
        </is>
      </c>
      <c r="B2" s="4" t="inlineStr">
        <is>
          <t>تاریخ</t>
        </is>
      </c>
      <c r="C2" s="4" t="inlineStr">
        <is>
          <t>عنوان پست</t>
        </is>
      </c>
      <c r="D2" s="4" t="inlineStr">
        <is>
          <t>فرمت</t>
        </is>
      </c>
      <c r="E2" s="4" t="inlineStr">
        <is>
          <t>ستون</t>
        </is>
      </c>
      <c r="F2" s="4" t="inlineStr">
        <is>
          <t>طول (ثانیه)</t>
        </is>
      </c>
      <c r="G2" s="4" t="inlineStr">
        <is>
          <t>Reach</t>
        </is>
      </c>
      <c r="H2" s="4" t="inlineStr">
        <is>
          <t>Views</t>
        </is>
      </c>
      <c r="I2" s="4" t="inlineStr">
        <is>
          <t>لایک</t>
        </is>
      </c>
      <c r="J2" s="4" t="inlineStr">
        <is>
          <t>کامنت</t>
        </is>
      </c>
      <c r="K2" s="4" t="inlineStr">
        <is>
          <t>ذخیره</t>
        </is>
      </c>
      <c r="L2" s="4" t="inlineStr">
        <is>
          <t>ارسال (Sends)</t>
        </is>
      </c>
      <c r="M2" s="4" t="inlineStr">
        <is>
          <t>میانگین زمان تماشا (ثانیه)</t>
        </is>
      </c>
      <c r="N2" s="4" t="inlineStr">
        <is>
          <t>بازدید پروفایل</t>
        </is>
      </c>
      <c r="O2" s="4" t="inlineStr">
        <is>
          <t>فالوور جدید</t>
        </is>
      </c>
      <c r="P2" s="4" t="inlineStr">
        <is>
          <t>ER بر Reach ٪</t>
        </is>
      </c>
      <c r="Q2" s="4" t="inlineStr">
        <is>
          <t>Sends per Reach ٪</t>
        </is>
      </c>
      <c r="R2" s="4" t="inlineStr">
        <is>
          <t>Likes per Reach ٪</t>
        </is>
      </c>
      <c r="S2" s="4" t="inlineStr">
        <is>
          <t>Saves per Reach ٪</t>
        </is>
      </c>
      <c r="T2" s="4" t="inlineStr">
        <is>
          <t>Watch Time Ratio ٪</t>
        </is>
      </c>
      <c r="U2" s="4" t="inlineStr">
        <is>
          <t>حکم</t>
        </is>
      </c>
    </row>
    <row r="3">
      <c r="A3" s="5" t="n">
        <v>1</v>
      </c>
      <c r="B3" s="5" t="n"/>
      <c r="C3" s="6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>
        <f>IF(G3=0,"",ROUND((I3+J3+K3+L3)/G3*100,2))</f>
        <v/>
      </c>
      <c r="Q3" s="5">
        <f>IF(G3=0,"",ROUND(L3/G3*100,2))</f>
        <v/>
      </c>
      <c r="R3" s="5">
        <f>IF(G3=0,"",ROUND(I3/G3*100,2))</f>
        <v/>
      </c>
      <c r="S3" s="5">
        <f>IF(G3=0,"",ROUND(K3/G3*100,2))</f>
        <v/>
      </c>
      <c r="T3" s="5">
        <f>IF(OR(F3=0,M3=""),"",ROUND(M3/F3*100,1))</f>
        <v/>
      </c>
      <c r="U3" s="5">
        <f>IF(Q3="","",IF(Q3&gt;=1,"🔥 قوی",IF(Q3&gt;=0.5,"🟢 نرمال","🔴 ضعیف")))</f>
        <v/>
      </c>
    </row>
    <row r="4">
      <c r="A4" s="7" t="n">
        <v>2</v>
      </c>
      <c r="B4" s="7" t="n"/>
      <c r="C4" s="8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>
        <f>IF(G4=0,"",ROUND((I4+J4+K4+L4)/G4*100,2))</f>
        <v/>
      </c>
      <c r="Q4" s="7">
        <f>IF(G4=0,"",ROUND(L4/G4*100,2))</f>
        <v/>
      </c>
      <c r="R4" s="7">
        <f>IF(G4=0,"",ROUND(I4/G4*100,2))</f>
        <v/>
      </c>
      <c r="S4" s="7">
        <f>IF(G4=0,"",ROUND(K4/G4*100,2))</f>
        <v/>
      </c>
      <c r="T4" s="7">
        <f>IF(OR(F4=0,M4=""),"",ROUND(M4/F4*100,1))</f>
        <v/>
      </c>
      <c r="U4" s="7">
        <f>IF(Q4="","",IF(Q4&gt;=1,"🔥 قوی",IF(Q4&gt;=0.5,"🟢 نرمال","🔴 ضعیف")))</f>
        <v/>
      </c>
    </row>
    <row r="5">
      <c r="A5" s="5" t="n">
        <v>3</v>
      </c>
      <c r="B5" s="5" t="n"/>
      <c r="C5" s="6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>
        <f>IF(G5=0,"",ROUND((I5+J5+K5+L5)/G5*100,2))</f>
        <v/>
      </c>
      <c r="Q5" s="5">
        <f>IF(G5=0,"",ROUND(L5/G5*100,2))</f>
        <v/>
      </c>
      <c r="R5" s="5">
        <f>IF(G5=0,"",ROUND(I5/G5*100,2))</f>
        <v/>
      </c>
      <c r="S5" s="5">
        <f>IF(G5=0,"",ROUND(K5/G5*100,2))</f>
        <v/>
      </c>
      <c r="T5" s="5">
        <f>IF(OR(F5=0,M5=""),"",ROUND(M5/F5*100,1))</f>
        <v/>
      </c>
      <c r="U5" s="5">
        <f>IF(Q5="","",IF(Q5&gt;=1,"🔥 قوی",IF(Q5&gt;=0.5,"🟢 نرمال","🔴 ضعیف")))</f>
        <v/>
      </c>
    </row>
    <row r="6">
      <c r="A6" s="7" t="n">
        <v>4</v>
      </c>
      <c r="B6" s="7" t="n"/>
      <c r="C6" s="8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>
        <f>IF(G6=0,"",ROUND((I6+J6+K6+L6)/G6*100,2))</f>
        <v/>
      </c>
      <c r="Q6" s="7">
        <f>IF(G6=0,"",ROUND(L6/G6*100,2))</f>
        <v/>
      </c>
      <c r="R6" s="7">
        <f>IF(G6=0,"",ROUND(I6/G6*100,2))</f>
        <v/>
      </c>
      <c r="S6" s="7">
        <f>IF(G6=0,"",ROUND(K6/G6*100,2))</f>
        <v/>
      </c>
      <c r="T6" s="7">
        <f>IF(OR(F6=0,M6=""),"",ROUND(M6/F6*100,1))</f>
        <v/>
      </c>
      <c r="U6" s="7">
        <f>IF(Q6="","",IF(Q6&gt;=1,"🔥 قوی",IF(Q6&gt;=0.5,"🟢 نرمال","🔴 ضعیف")))</f>
        <v/>
      </c>
    </row>
    <row r="7">
      <c r="A7" s="5" t="n">
        <v>5</v>
      </c>
      <c r="B7" s="5" t="n"/>
      <c r="C7" s="6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>
        <f>IF(G7=0,"",ROUND((I7+J7+K7+L7)/G7*100,2))</f>
        <v/>
      </c>
      <c r="Q7" s="5">
        <f>IF(G7=0,"",ROUND(L7/G7*100,2))</f>
        <v/>
      </c>
      <c r="R7" s="5">
        <f>IF(G7=0,"",ROUND(I7/G7*100,2))</f>
        <v/>
      </c>
      <c r="S7" s="5">
        <f>IF(G7=0,"",ROUND(K7/G7*100,2))</f>
        <v/>
      </c>
      <c r="T7" s="5">
        <f>IF(OR(F7=0,M7=""),"",ROUND(M7/F7*100,1))</f>
        <v/>
      </c>
      <c r="U7" s="5">
        <f>IF(Q7="","",IF(Q7&gt;=1,"🔥 قوی",IF(Q7&gt;=0.5,"🟢 نرمال","🔴 ضعیف")))</f>
        <v/>
      </c>
    </row>
    <row r="8">
      <c r="A8" s="7" t="n">
        <v>6</v>
      </c>
      <c r="B8" s="7" t="n"/>
      <c r="C8" s="8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>
        <f>IF(G8=0,"",ROUND((I8+J8+K8+L8)/G8*100,2))</f>
        <v/>
      </c>
      <c r="Q8" s="7">
        <f>IF(G8=0,"",ROUND(L8/G8*100,2))</f>
        <v/>
      </c>
      <c r="R8" s="7">
        <f>IF(G8=0,"",ROUND(I8/G8*100,2))</f>
        <v/>
      </c>
      <c r="S8" s="7">
        <f>IF(G8=0,"",ROUND(K8/G8*100,2))</f>
        <v/>
      </c>
      <c r="T8" s="7">
        <f>IF(OR(F8=0,M8=""),"",ROUND(M8/F8*100,1))</f>
        <v/>
      </c>
      <c r="U8" s="7">
        <f>IF(Q8="","",IF(Q8&gt;=1,"🔥 قوی",IF(Q8&gt;=0.5,"🟢 نرمال","🔴 ضعیف")))</f>
        <v/>
      </c>
    </row>
    <row r="9">
      <c r="A9" s="5" t="n">
        <v>7</v>
      </c>
      <c r="B9" s="5" t="n"/>
      <c r="C9" s="6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>
        <f>IF(G9=0,"",ROUND((I9+J9+K9+L9)/G9*100,2))</f>
        <v/>
      </c>
      <c r="Q9" s="5">
        <f>IF(G9=0,"",ROUND(L9/G9*100,2))</f>
        <v/>
      </c>
      <c r="R9" s="5">
        <f>IF(G9=0,"",ROUND(I9/G9*100,2))</f>
        <v/>
      </c>
      <c r="S9" s="5">
        <f>IF(G9=0,"",ROUND(K9/G9*100,2))</f>
        <v/>
      </c>
      <c r="T9" s="5">
        <f>IF(OR(F9=0,M9=""),"",ROUND(M9/F9*100,1))</f>
        <v/>
      </c>
      <c r="U9" s="5">
        <f>IF(Q9="","",IF(Q9&gt;=1,"🔥 قوی",IF(Q9&gt;=0.5,"🟢 نرمال","🔴 ضعیف")))</f>
        <v/>
      </c>
    </row>
    <row r="10">
      <c r="A10" s="7" t="n">
        <v>8</v>
      </c>
      <c r="B10" s="7" t="n"/>
      <c r="C10" s="8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>
        <f>IF(G10=0,"",ROUND((I10+J10+K10+L10)/G10*100,2))</f>
        <v/>
      </c>
      <c r="Q10" s="7">
        <f>IF(G10=0,"",ROUND(L10/G10*100,2))</f>
        <v/>
      </c>
      <c r="R10" s="7">
        <f>IF(G10=0,"",ROUND(I10/G10*100,2))</f>
        <v/>
      </c>
      <c r="S10" s="7">
        <f>IF(G10=0,"",ROUND(K10/G10*100,2))</f>
        <v/>
      </c>
      <c r="T10" s="7">
        <f>IF(OR(F10=0,M10=""),"",ROUND(M10/F10*100,1))</f>
        <v/>
      </c>
      <c r="U10" s="7">
        <f>IF(Q10="","",IF(Q10&gt;=1,"🔥 قوی",IF(Q10&gt;=0.5,"🟢 نرمال","🔴 ضعیف")))</f>
        <v/>
      </c>
    </row>
    <row r="11">
      <c r="A11" s="5" t="n">
        <v>9</v>
      </c>
      <c r="B11" s="5" t="n"/>
      <c r="C11" s="6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>
        <f>IF(G11=0,"",ROUND((I11+J11+K11+L11)/G11*100,2))</f>
        <v/>
      </c>
      <c r="Q11" s="5">
        <f>IF(G11=0,"",ROUND(L11/G11*100,2))</f>
        <v/>
      </c>
      <c r="R11" s="5">
        <f>IF(G11=0,"",ROUND(I11/G11*100,2))</f>
        <v/>
      </c>
      <c r="S11" s="5">
        <f>IF(G11=0,"",ROUND(K11/G11*100,2))</f>
        <v/>
      </c>
      <c r="T11" s="5">
        <f>IF(OR(F11=0,M11=""),"",ROUND(M11/F11*100,1))</f>
        <v/>
      </c>
      <c r="U11" s="5">
        <f>IF(Q11="","",IF(Q11&gt;=1,"🔥 قوی",IF(Q11&gt;=0.5,"🟢 نرمال","🔴 ضعیف")))</f>
        <v/>
      </c>
    </row>
    <row r="12">
      <c r="A12" s="7" t="n">
        <v>10</v>
      </c>
      <c r="B12" s="7" t="n"/>
      <c r="C12" s="8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>
        <f>IF(G12=0,"",ROUND((I12+J12+K12+L12)/G12*100,2))</f>
        <v/>
      </c>
      <c r="Q12" s="7">
        <f>IF(G12=0,"",ROUND(L12/G12*100,2))</f>
        <v/>
      </c>
      <c r="R12" s="7">
        <f>IF(G12=0,"",ROUND(I12/G12*100,2))</f>
        <v/>
      </c>
      <c r="S12" s="7">
        <f>IF(G12=0,"",ROUND(K12/G12*100,2))</f>
        <v/>
      </c>
      <c r="T12" s="7">
        <f>IF(OR(F12=0,M12=""),"",ROUND(M12/F12*100,1))</f>
        <v/>
      </c>
      <c r="U12" s="7">
        <f>IF(Q12="","",IF(Q12&gt;=1,"🔥 قوی",IF(Q12&gt;=0.5,"🟢 نرمال","🔴 ضعیف")))</f>
        <v/>
      </c>
    </row>
    <row r="13">
      <c r="A13" s="5" t="n">
        <v>11</v>
      </c>
      <c r="B13" s="5" t="n"/>
      <c r="C13" s="6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>
        <f>IF(G13=0,"",ROUND((I13+J13+K13+L13)/G13*100,2))</f>
        <v/>
      </c>
      <c r="Q13" s="5">
        <f>IF(G13=0,"",ROUND(L13/G13*100,2))</f>
        <v/>
      </c>
      <c r="R13" s="5">
        <f>IF(G13=0,"",ROUND(I13/G13*100,2))</f>
        <v/>
      </c>
      <c r="S13" s="5">
        <f>IF(G13=0,"",ROUND(K13/G13*100,2))</f>
        <v/>
      </c>
      <c r="T13" s="5">
        <f>IF(OR(F13=0,M13=""),"",ROUND(M13/F13*100,1))</f>
        <v/>
      </c>
      <c r="U13" s="5">
        <f>IF(Q13="","",IF(Q13&gt;=1,"🔥 قوی",IF(Q13&gt;=0.5,"🟢 نرمال","🔴 ضعیف")))</f>
        <v/>
      </c>
    </row>
    <row r="14">
      <c r="A14" s="7" t="n">
        <v>12</v>
      </c>
      <c r="B14" s="7" t="n"/>
      <c r="C14" s="8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>
        <f>IF(G14=0,"",ROUND((I14+J14+K14+L14)/G14*100,2))</f>
        <v/>
      </c>
      <c r="Q14" s="7">
        <f>IF(G14=0,"",ROUND(L14/G14*100,2))</f>
        <v/>
      </c>
      <c r="R14" s="7">
        <f>IF(G14=0,"",ROUND(I14/G14*100,2))</f>
        <v/>
      </c>
      <c r="S14" s="7">
        <f>IF(G14=0,"",ROUND(K14/G14*100,2))</f>
        <v/>
      </c>
      <c r="T14" s="7">
        <f>IF(OR(F14=0,M14=""),"",ROUND(M14/F14*100,1))</f>
        <v/>
      </c>
      <c r="U14" s="7">
        <f>IF(Q14="","",IF(Q14&gt;=1,"🔥 قوی",IF(Q14&gt;=0.5,"🟢 نرمال","🔴 ضعیف")))</f>
        <v/>
      </c>
    </row>
    <row r="15">
      <c r="A15" s="5" t="n">
        <v>13</v>
      </c>
      <c r="B15" s="5" t="n"/>
      <c r="C15" s="6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>
        <f>IF(G15=0,"",ROUND((I15+J15+K15+L15)/G15*100,2))</f>
        <v/>
      </c>
      <c r="Q15" s="5">
        <f>IF(G15=0,"",ROUND(L15/G15*100,2))</f>
        <v/>
      </c>
      <c r="R15" s="5">
        <f>IF(G15=0,"",ROUND(I15/G15*100,2))</f>
        <v/>
      </c>
      <c r="S15" s="5">
        <f>IF(G15=0,"",ROUND(K15/G15*100,2))</f>
        <v/>
      </c>
      <c r="T15" s="5">
        <f>IF(OR(F15=0,M15=""),"",ROUND(M15/F15*100,1))</f>
        <v/>
      </c>
      <c r="U15" s="5">
        <f>IF(Q15="","",IF(Q15&gt;=1,"🔥 قوی",IF(Q15&gt;=0.5,"🟢 نرمال","🔴 ضعیف")))</f>
        <v/>
      </c>
    </row>
    <row r="16">
      <c r="A16" s="7" t="n">
        <v>14</v>
      </c>
      <c r="B16" s="7" t="n"/>
      <c r="C16" s="8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>
        <f>IF(G16=0,"",ROUND((I16+J16+K16+L16)/G16*100,2))</f>
        <v/>
      </c>
      <c r="Q16" s="7">
        <f>IF(G16=0,"",ROUND(L16/G16*100,2))</f>
        <v/>
      </c>
      <c r="R16" s="7">
        <f>IF(G16=0,"",ROUND(I16/G16*100,2))</f>
        <v/>
      </c>
      <c r="S16" s="7">
        <f>IF(G16=0,"",ROUND(K16/G16*100,2))</f>
        <v/>
      </c>
      <c r="T16" s="7">
        <f>IF(OR(F16=0,M16=""),"",ROUND(M16/F16*100,1))</f>
        <v/>
      </c>
      <c r="U16" s="7">
        <f>IF(Q16="","",IF(Q16&gt;=1,"🔥 قوی",IF(Q16&gt;=0.5,"🟢 نرمال","🔴 ضعیف")))</f>
        <v/>
      </c>
    </row>
    <row r="17">
      <c r="A17" s="5" t="n">
        <v>15</v>
      </c>
      <c r="B17" s="5" t="n"/>
      <c r="C17" s="6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>
        <f>IF(G17=0,"",ROUND((I17+J17+K17+L17)/G17*100,2))</f>
        <v/>
      </c>
      <c r="Q17" s="5">
        <f>IF(G17=0,"",ROUND(L17/G17*100,2))</f>
        <v/>
      </c>
      <c r="R17" s="5">
        <f>IF(G17=0,"",ROUND(I17/G17*100,2))</f>
        <v/>
      </c>
      <c r="S17" s="5">
        <f>IF(G17=0,"",ROUND(K17/G17*100,2))</f>
        <v/>
      </c>
      <c r="T17" s="5">
        <f>IF(OR(F17=0,M17=""),"",ROUND(M17/F17*100,1))</f>
        <v/>
      </c>
      <c r="U17" s="5">
        <f>IF(Q17="","",IF(Q17&gt;=1,"🔥 قوی",IF(Q17&gt;=0.5,"🟢 نرمال","🔴 ضعیف")))</f>
        <v/>
      </c>
    </row>
    <row r="18">
      <c r="A18" s="7" t="n">
        <v>16</v>
      </c>
      <c r="B18" s="7" t="n"/>
      <c r="C18" s="8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>
        <f>IF(G18=0,"",ROUND((I18+J18+K18+L18)/G18*100,2))</f>
        <v/>
      </c>
      <c r="Q18" s="7">
        <f>IF(G18=0,"",ROUND(L18/G18*100,2))</f>
        <v/>
      </c>
      <c r="R18" s="7">
        <f>IF(G18=0,"",ROUND(I18/G18*100,2))</f>
        <v/>
      </c>
      <c r="S18" s="7">
        <f>IF(G18=0,"",ROUND(K18/G18*100,2))</f>
        <v/>
      </c>
      <c r="T18" s="7">
        <f>IF(OR(F18=0,M18=""),"",ROUND(M18/F18*100,1))</f>
        <v/>
      </c>
      <c r="U18" s="7">
        <f>IF(Q18="","",IF(Q18&gt;=1,"🔥 قوی",IF(Q18&gt;=0.5,"🟢 نرمال","🔴 ضعیف")))</f>
        <v/>
      </c>
    </row>
    <row r="19">
      <c r="A19" s="5" t="n">
        <v>17</v>
      </c>
      <c r="B19" s="5" t="n"/>
      <c r="C19" s="6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>
        <f>IF(G19=0,"",ROUND((I19+J19+K19+L19)/G19*100,2))</f>
        <v/>
      </c>
      <c r="Q19" s="5">
        <f>IF(G19=0,"",ROUND(L19/G19*100,2))</f>
        <v/>
      </c>
      <c r="R19" s="5">
        <f>IF(G19=0,"",ROUND(I19/G19*100,2))</f>
        <v/>
      </c>
      <c r="S19" s="5">
        <f>IF(G19=0,"",ROUND(K19/G19*100,2))</f>
        <v/>
      </c>
      <c r="T19" s="5">
        <f>IF(OR(F19=0,M19=""),"",ROUND(M19/F19*100,1))</f>
        <v/>
      </c>
      <c r="U19" s="5">
        <f>IF(Q19="","",IF(Q19&gt;=1,"🔥 قوی",IF(Q19&gt;=0.5,"🟢 نرمال","🔴 ضعیف")))</f>
        <v/>
      </c>
    </row>
    <row r="20">
      <c r="A20" s="7" t="n">
        <v>18</v>
      </c>
      <c r="B20" s="7" t="n"/>
      <c r="C20" s="8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>
        <f>IF(G20=0,"",ROUND((I20+J20+K20+L20)/G20*100,2))</f>
        <v/>
      </c>
      <c r="Q20" s="7">
        <f>IF(G20=0,"",ROUND(L20/G20*100,2))</f>
        <v/>
      </c>
      <c r="R20" s="7">
        <f>IF(G20=0,"",ROUND(I20/G20*100,2))</f>
        <v/>
      </c>
      <c r="S20" s="7">
        <f>IF(G20=0,"",ROUND(K20/G20*100,2))</f>
        <v/>
      </c>
      <c r="T20" s="7">
        <f>IF(OR(F20=0,M20=""),"",ROUND(M20/F20*100,1))</f>
        <v/>
      </c>
      <c r="U20" s="7">
        <f>IF(Q20="","",IF(Q20&gt;=1,"🔥 قوی",IF(Q20&gt;=0.5,"🟢 نرمال","🔴 ضعیف")))</f>
        <v/>
      </c>
    </row>
    <row r="21">
      <c r="A21" s="5" t="n">
        <v>19</v>
      </c>
      <c r="B21" s="5" t="n"/>
      <c r="C21" s="6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>
        <f>IF(G21=0,"",ROUND((I21+J21+K21+L21)/G21*100,2))</f>
        <v/>
      </c>
      <c r="Q21" s="5">
        <f>IF(G21=0,"",ROUND(L21/G21*100,2))</f>
        <v/>
      </c>
      <c r="R21" s="5">
        <f>IF(G21=0,"",ROUND(I21/G21*100,2))</f>
        <v/>
      </c>
      <c r="S21" s="5">
        <f>IF(G21=0,"",ROUND(K21/G21*100,2))</f>
        <v/>
      </c>
      <c r="T21" s="5">
        <f>IF(OR(F21=0,M21=""),"",ROUND(M21/F21*100,1))</f>
        <v/>
      </c>
      <c r="U21" s="5">
        <f>IF(Q21="","",IF(Q21&gt;=1,"🔥 قوی",IF(Q21&gt;=0.5,"🟢 نرمال","🔴 ضعیف")))</f>
        <v/>
      </c>
    </row>
    <row r="22">
      <c r="A22" s="7" t="n">
        <v>20</v>
      </c>
      <c r="B22" s="7" t="n"/>
      <c r="C22" s="8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>
        <f>IF(G22=0,"",ROUND((I22+J22+K22+L22)/G22*100,2))</f>
        <v/>
      </c>
      <c r="Q22" s="7">
        <f>IF(G22=0,"",ROUND(L22/G22*100,2))</f>
        <v/>
      </c>
      <c r="R22" s="7">
        <f>IF(G22=0,"",ROUND(I22/G22*100,2))</f>
        <v/>
      </c>
      <c r="S22" s="7">
        <f>IF(G22=0,"",ROUND(K22/G22*100,2))</f>
        <v/>
      </c>
      <c r="T22" s="7">
        <f>IF(OR(F22=0,M22=""),"",ROUND(M22/F22*100,1))</f>
        <v/>
      </c>
      <c r="U22" s="7">
        <f>IF(Q22="","",IF(Q22&gt;=1,"🔥 قوی",IF(Q22&gt;=0.5,"🟢 نرمال","🔴 ضعیف")))</f>
        <v/>
      </c>
    </row>
    <row r="23">
      <c r="A23" s="5" t="n">
        <v>21</v>
      </c>
      <c r="B23" s="5" t="n"/>
      <c r="C23" s="6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>
        <f>IF(G23=0,"",ROUND((I23+J23+K23+L23)/G23*100,2))</f>
        <v/>
      </c>
      <c r="Q23" s="5">
        <f>IF(G23=0,"",ROUND(L23/G23*100,2))</f>
        <v/>
      </c>
      <c r="R23" s="5">
        <f>IF(G23=0,"",ROUND(I23/G23*100,2))</f>
        <v/>
      </c>
      <c r="S23" s="5">
        <f>IF(G23=0,"",ROUND(K23/G23*100,2))</f>
        <v/>
      </c>
      <c r="T23" s="5">
        <f>IF(OR(F23=0,M23=""),"",ROUND(M23/F23*100,1))</f>
        <v/>
      </c>
      <c r="U23" s="5">
        <f>IF(Q23="","",IF(Q23&gt;=1,"🔥 قوی",IF(Q23&gt;=0.5,"🟢 نرمال","🔴 ضعیف")))</f>
        <v/>
      </c>
    </row>
    <row r="24">
      <c r="A24" s="7" t="n">
        <v>22</v>
      </c>
      <c r="B24" s="7" t="n"/>
      <c r="C24" s="8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>
        <f>IF(G24=0,"",ROUND((I24+J24+K24+L24)/G24*100,2))</f>
        <v/>
      </c>
      <c r="Q24" s="7">
        <f>IF(G24=0,"",ROUND(L24/G24*100,2))</f>
        <v/>
      </c>
      <c r="R24" s="7">
        <f>IF(G24=0,"",ROUND(I24/G24*100,2))</f>
        <v/>
      </c>
      <c r="S24" s="7">
        <f>IF(G24=0,"",ROUND(K24/G24*100,2))</f>
        <v/>
      </c>
      <c r="T24" s="7">
        <f>IF(OR(F24=0,M24=""),"",ROUND(M24/F24*100,1))</f>
        <v/>
      </c>
      <c r="U24" s="7">
        <f>IF(Q24="","",IF(Q24&gt;=1,"🔥 قوی",IF(Q24&gt;=0.5,"🟢 نرمال","🔴 ضعیف")))</f>
        <v/>
      </c>
    </row>
    <row r="25">
      <c r="A25" s="5" t="n">
        <v>23</v>
      </c>
      <c r="B25" s="5" t="n"/>
      <c r="C25" s="6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>
        <f>IF(G25=0,"",ROUND((I25+J25+K25+L25)/G25*100,2))</f>
        <v/>
      </c>
      <c r="Q25" s="5">
        <f>IF(G25=0,"",ROUND(L25/G25*100,2))</f>
        <v/>
      </c>
      <c r="R25" s="5">
        <f>IF(G25=0,"",ROUND(I25/G25*100,2))</f>
        <v/>
      </c>
      <c r="S25" s="5">
        <f>IF(G25=0,"",ROUND(K25/G25*100,2))</f>
        <v/>
      </c>
      <c r="T25" s="5">
        <f>IF(OR(F25=0,M25=""),"",ROUND(M25/F25*100,1))</f>
        <v/>
      </c>
      <c r="U25" s="5">
        <f>IF(Q25="","",IF(Q25&gt;=1,"🔥 قوی",IF(Q25&gt;=0.5,"🟢 نرمال","🔴 ضعیف")))</f>
        <v/>
      </c>
    </row>
    <row r="26">
      <c r="A26" s="7" t="n">
        <v>24</v>
      </c>
      <c r="B26" s="7" t="n"/>
      <c r="C26" s="8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>
        <f>IF(G26=0,"",ROUND((I26+J26+K26+L26)/G26*100,2))</f>
        <v/>
      </c>
      <c r="Q26" s="7">
        <f>IF(G26=0,"",ROUND(L26/G26*100,2))</f>
        <v/>
      </c>
      <c r="R26" s="7">
        <f>IF(G26=0,"",ROUND(I26/G26*100,2))</f>
        <v/>
      </c>
      <c r="S26" s="7">
        <f>IF(G26=0,"",ROUND(K26/G26*100,2))</f>
        <v/>
      </c>
      <c r="T26" s="7">
        <f>IF(OR(F26=0,M26=""),"",ROUND(M26/F26*100,1))</f>
        <v/>
      </c>
      <c r="U26" s="7">
        <f>IF(Q26="","",IF(Q26&gt;=1,"🔥 قوی",IF(Q26&gt;=0.5,"🟢 نرمال","🔴 ضعیف")))</f>
        <v/>
      </c>
    </row>
    <row r="27">
      <c r="A27" s="5" t="n">
        <v>25</v>
      </c>
      <c r="B27" s="5" t="n"/>
      <c r="C27" s="6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>
        <f>IF(G27=0,"",ROUND((I27+J27+K27+L27)/G27*100,2))</f>
        <v/>
      </c>
      <c r="Q27" s="5">
        <f>IF(G27=0,"",ROUND(L27/G27*100,2))</f>
        <v/>
      </c>
      <c r="R27" s="5">
        <f>IF(G27=0,"",ROUND(I27/G27*100,2))</f>
        <v/>
      </c>
      <c r="S27" s="5">
        <f>IF(G27=0,"",ROUND(K27/G27*100,2))</f>
        <v/>
      </c>
      <c r="T27" s="5">
        <f>IF(OR(F27=0,M27=""),"",ROUND(M27/F27*100,1))</f>
        <v/>
      </c>
      <c r="U27" s="5">
        <f>IF(Q27="","",IF(Q27&gt;=1,"🔥 قوی",IF(Q27&gt;=0.5,"🟢 نرمال","🔴 ضعیف")))</f>
        <v/>
      </c>
    </row>
    <row r="28">
      <c r="A28" s="7" t="n">
        <v>26</v>
      </c>
      <c r="B28" s="7" t="n"/>
      <c r="C28" s="8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>
        <f>IF(G28=0,"",ROUND((I28+J28+K28+L28)/G28*100,2))</f>
        <v/>
      </c>
      <c r="Q28" s="7">
        <f>IF(G28=0,"",ROUND(L28/G28*100,2))</f>
        <v/>
      </c>
      <c r="R28" s="7">
        <f>IF(G28=0,"",ROUND(I28/G28*100,2))</f>
        <v/>
      </c>
      <c r="S28" s="7">
        <f>IF(G28=0,"",ROUND(K28/G28*100,2))</f>
        <v/>
      </c>
      <c r="T28" s="7">
        <f>IF(OR(F28=0,M28=""),"",ROUND(M28/F28*100,1))</f>
        <v/>
      </c>
      <c r="U28" s="7">
        <f>IF(Q28="","",IF(Q28&gt;=1,"🔥 قوی",IF(Q28&gt;=0.5,"🟢 نرمال","🔴 ضعیف")))</f>
        <v/>
      </c>
    </row>
    <row r="29">
      <c r="A29" s="5" t="n">
        <v>27</v>
      </c>
      <c r="B29" s="5" t="n"/>
      <c r="C29" s="6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>
        <f>IF(G29=0,"",ROUND((I29+J29+K29+L29)/G29*100,2))</f>
        <v/>
      </c>
      <c r="Q29" s="5">
        <f>IF(G29=0,"",ROUND(L29/G29*100,2))</f>
        <v/>
      </c>
      <c r="R29" s="5">
        <f>IF(G29=0,"",ROUND(I29/G29*100,2))</f>
        <v/>
      </c>
      <c r="S29" s="5">
        <f>IF(G29=0,"",ROUND(K29/G29*100,2))</f>
        <v/>
      </c>
      <c r="T29" s="5">
        <f>IF(OR(F29=0,M29=""),"",ROUND(M29/F29*100,1))</f>
        <v/>
      </c>
      <c r="U29" s="5">
        <f>IF(Q29="","",IF(Q29&gt;=1,"🔥 قوی",IF(Q29&gt;=0.5,"🟢 نرمال","🔴 ضعیف")))</f>
        <v/>
      </c>
    </row>
    <row r="30">
      <c r="A30" s="7" t="n">
        <v>28</v>
      </c>
      <c r="B30" s="7" t="n"/>
      <c r="C30" s="8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>
        <f>IF(G30=0,"",ROUND((I30+J30+K30+L30)/G30*100,2))</f>
        <v/>
      </c>
      <c r="Q30" s="7">
        <f>IF(G30=0,"",ROUND(L30/G30*100,2))</f>
        <v/>
      </c>
      <c r="R30" s="7">
        <f>IF(G30=0,"",ROUND(I30/G30*100,2))</f>
        <v/>
      </c>
      <c r="S30" s="7">
        <f>IF(G30=0,"",ROUND(K30/G30*100,2))</f>
        <v/>
      </c>
      <c r="T30" s="7">
        <f>IF(OR(F30=0,M30=""),"",ROUND(M30/F30*100,1))</f>
        <v/>
      </c>
      <c r="U30" s="7">
        <f>IF(Q30="","",IF(Q30&gt;=1,"🔥 قوی",IF(Q30&gt;=0.5,"🟢 نرمال","🔴 ضعیف")))</f>
        <v/>
      </c>
    </row>
    <row r="31">
      <c r="A31" s="5" t="n">
        <v>29</v>
      </c>
      <c r="B31" s="5" t="n"/>
      <c r="C31" s="6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>
        <f>IF(G31=0,"",ROUND((I31+J31+K31+L31)/G31*100,2))</f>
        <v/>
      </c>
      <c r="Q31" s="5">
        <f>IF(G31=0,"",ROUND(L31/G31*100,2))</f>
        <v/>
      </c>
      <c r="R31" s="5">
        <f>IF(G31=0,"",ROUND(I31/G31*100,2))</f>
        <v/>
      </c>
      <c r="S31" s="5">
        <f>IF(G31=0,"",ROUND(K31/G31*100,2))</f>
        <v/>
      </c>
      <c r="T31" s="5">
        <f>IF(OR(F31=0,M31=""),"",ROUND(M31/F31*100,1))</f>
        <v/>
      </c>
      <c r="U31" s="5">
        <f>IF(Q31="","",IF(Q31&gt;=1,"🔥 قوی",IF(Q31&gt;=0.5,"🟢 نرمال","🔴 ضعیف")))</f>
        <v/>
      </c>
    </row>
    <row r="32">
      <c r="A32" s="7" t="n">
        <v>30</v>
      </c>
      <c r="B32" s="7" t="n"/>
      <c r="C32" s="8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>
        <f>IF(G32=0,"",ROUND((I32+J32+K32+L32)/G32*100,2))</f>
        <v/>
      </c>
      <c r="Q32" s="7">
        <f>IF(G32=0,"",ROUND(L32/G32*100,2))</f>
        <v/>
      </c>
      <c r="R32" s="7">
        <f>IF(G32=0,"",ROUND(I32/G32*100,2))</f>
        <v/>
      </c>
      <c r="S32" s="7">
        <f>IF(G32=0,"",ROUND(K32/G32*100,2))</f>
        <v/>
      </c>
      <c r="T32" s="7">
        <f>IF(OR(F32=0,M32=""),"",ROUND(M32/F32*100,1))</f>
        <v/>
      </c>
      <c r="U32" s="7">
        <f>IF(Q32="","",IF(Q32&gt;=1,"🔥 قوی",IF(Q32&gt;=0.5,"🟢 نرمال","🔴 ضعیف")))</f>
        <v/>
      </c>
    </row>
    <row r="33">
      <c r="A33" s="5" t="n">
        <v>31</v>
      </c>
      <c r="B33" s="5" t="n"/>
      <c r="C33" s="6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>
        <f>IF(G33=0,"",ROUND((I33+J33+K33+L33)/G33*100,2))</f>
        <v/>
      </c>
      <c r="Q33" s="5">
        <f>IF(G33=0,"",ROUND(L33/G33*100,2))</f>
        <v/>
      </c>
      <c r="R33" s="5">
        <f>IF(G33=0,"",ROUND(I33/G33*100,2))</f>
        <v/>
      </c>
      <c r="S33" s="5">
        <f>IF(G33=0,"",ROUND(K33/G33*100,2))</f>
        <v/>
      </c>
      <c r="T33" s="5">
        <f>IF(OR(F33=0,M33=""),"",ROUND(M33/F33*100,1))</f>
        <v/>
      </c>
      <c r="U33" s="5">
        <f>IF(Q33="","",IF(Q33&gt;=1,"🔥 قوی",IF(Q33&gt;=0.5,"🟢 نرمال","🔴 ضعیف")))</f>
        <v/>
      </c>
    </row>
    <row r="34">
      <c r="A34" s="7" t="n">
        <v>32</v>
      </c>
      <c r="B34" s="7" t="n"/>
      <c r="C34" s="8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>
        <f>IF(G34=0,"",ROUND((I34+J34+K34+L34)/G34*100,2))</f>
        <v/>
      </c>
      <c r="Q34" s="7">
        <f>IF(G34=0,"",ROUND(L34/G34*100,2))</f>
        <v/>
      </c>
      <c r="R34" s="7">
        <f>IF(G34=0,"",ROUND(I34/G34*100,2))</f>
        <v/>
      </c>
      <c r="S34" s="7">
        <f>IF(G34=0,"",ROUND(K34/G34*100,2))</f>
        <v/>
      </c>
      <c r="T34" s="7">
        <f>IF(OR(F34=0,M34=""),"",ROUND(M34/F34*100,1))</f>
        <v/>
      </c>
      <c r="U34" s="7">
        <f>IF(Q34="","",IF(Q34&gt;=1,"🔥 قوی",IF(Q34&gt;=0.5,"🟢 نرمال","🔴 ضعیف")))</f>
        <v/>
      </c>
    </row>
    <row r="35">
      <c r="A35" s="5" t="n">
        <v>33</v>
      </c>
      <c r="B35" s="5" t="n"/>
      <c r="C35" s="6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>
        <f>IF(G35=0,"",ROUND((I35+J35+K35+L35)/G35*100,2))</f>
        <v/>
      </c>
      <c r="Q35" s="5">
        <f>IF(G35=0,"",ROUND(L35/G35*100,2))</f>
        <v/>
      </c>
      <c r="R35" s="5">
        <f>IF(G35=0,"",ROUND(I35/G35*100,2))</f>
        <v/>
      </c>
      <c r="S35" s="5">
        <f>IF(G35=0,"",ROUND(K35/G35*100,2))</f>
        <v/>
      </c>
      <c r="T35" s="5">
        <f>IF(OR(F35=0,M35=""),"",ROUND(M35/F35*100,1))</f>
        <v/>
      </c>
      <c r="U35" s="5">
        <f>IF(Q35="","",IF(Q35&gt;=1,"🔥 قوی",IF(Q35&gt;=0.5,"🟢 نرمال","🔴 ضعیف")))</f>
        <v/>
      </c>
    </row>
    <row r="36">
      <c r="A36" s="7" t="n">
        <v>34</v>
      </c>
      <c r="B36" s="7" t="n"/>
      <c r="C36" s="8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>
        <f>IF(G36=0,"",ROUND((I36+J36+K36+L36)/G36*100,2))</f>
        <v/>
      </c>
      <c r="Q36" s="7">
        <f>IF(G36=0,"",ROUND(L36/G36*100,2))</f>
        <v/>
      </c>
      <c r="R36" s="7">
        <f>IF(G36=0,"",ROUND(I36/G36*100,2))</f>
        <v/>
      </c>
      <c r="S36" s="7">
        <f>IF(G36=0,"",ROUND(K36/G36*100,2))</f>
        <v/>
      </c>
      <c r="T36" s="7">
        <f>IF(OR(F36=0,M36=""),"",ROUND(M36/F36*100,1))</f>
        <v/>
      </c>
      <c r="U36" s="7">
        <f>IF(Q36="","",IF(Q36&gt;=1,"🔥 قوی",IF(Q36&gt;=0.5,"🟢 نرمال","🔴 ضعیف")))</f>
        <v/>
      </c>
    </row>
    <row r="37">
      <c r="A37" s="5" t="n">
        <v>35</v>
      </c>
      <c r="B37" s="5" t="n"/>
      <c r="C37" s="6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>
        <f>IF(G37=0,"",ROUND((I37+J37+K37+L37)/G37*100,2))</f>
        <v/>
      </c>
      <c r="Q37" s="5">
        <f>IF(G37=0,"",ROUND(L37/G37*100,2))</f>
        <v/>
      </c>
      <c r="R37" s="5">
        <f>IF(G37=0,"",ROUND(I37/G37*100,2))</f>
        <v/>
      </c>
      <c r="S37" s="5">
        <f>IF(G37=0,"",ROUND(K37/G37*100,2))</f>
        <v/>
      </c>
      <c r="T37" s="5">
        <f>IF(OR(F37=0,M37=""),"",ROUND(M37/F37*100,1))</f>
        <v/>
      </c>
      <c r="U37" s="5">
        <f>IF(Q37="","",IF(Q37&gt;=1,"🔥 قوی",IF(Q37&gt;=0.5,"🟢 نرمال","🔴 ضعیف")))</f>
        <v/>
      </c>
    </row>
    <row r="38">
      <c r="A38" s="7" t="n">
        <v>36</v>
      </c>
      <c r="B38" s="7" t="n"/>
      <c r="C38" s="8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>
        <f>IF(G38=0,"",ROUND((I38+J38+K38+L38)/G38*100,2))</f>
        <v/>
      </c>
      <c r="Q38" s="7">
        <f>IF(G38=0,"",ROUND(L38/G38*100,2))</f>
        <v/>
      </c>
      <c r="R38" s="7">
        <f>IF(G38=0,"",ROUND(I38/G38*100,2))</f>
        <v/>
      </c>
      <c r="S38" s="7">
        <f>IF(G38=0,"",ROUND(K38/G38*100,2))</f>
        <v/>
      </c>
      <c r="T38" s="7">
        <f>IF(OR(F38=0,M38=""),"",ROUND(M38/F38*100,1))</f>
        <v/>
      </c>
      <c r="U38" s="7">
        <f>IF(Q38="","",IF(Q38&gt;=1,"🔥 قوی",IF(Q38&gt;=0.5,"🟢 نرمال","🔴 ضعیف")))</f>
        <v/>
      </c>
    </row>
    <row r="39">
      <c r="A39" s="5" t="n">
        <v>37</v>
      </c>
      <c r="B39" s="5" t="n"/>
      <c r="C39" s="6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>
        <f>IF(G39=0,"",ROUND((I39+J39+K39+L39)/G39*100,2))</f>
        <v/>
      </c>
      <c r="Q39" s="5">
        <f>IF(G39=0,"",ROUND(L39/G39*100,2))</f>
        <v/>
      </c>
      <c r="R39" s="5">
        <f>IF(G39=0,"",ROUND(I39/G39*100,2))</f>
        <v/>
      </c>
      <c r="S39" s="5">
        <f>IF(G39=0,"",ROUND(K39/G39*100,2))</f>
        <v/>
      </c>
      <c r="T39" s="5">
        <f>IF(OR(F39=0,M39=""),"",ROUND(M39/F39*100,1))</f>
        <v/>
      </c>
      <c r="U39" s="5">
        <f>IF(Q39="","",IF(Q39&gt;=1,"🔥 قوی",IF(Q39&gt;=0.5,"🟢 نرمال","🔴 ضعیف")))</f>
        <v/>
      </c>
    </row>
    <row r="40">
      <c r="A40" s="7" t="n">
        <v>38</v>
      </c>
      <c r="B40" s="7" t="n"/>
      <c r="C40" s="8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>
        <f>IF(G40=0,"",ROUND((I40+J40+K40+L40)/G40*100,2))</f>
        <v/>
      </c>
      <c r="Q40" s="7">
        <f>IF(G40=0,"",ROUND(L40/G40*100,2))</f>
        <v/>
      </c>
      <c r="R40" s="7">
        <f>IF(G40=0,"",ROUND(I40/G40*100,2))</f>
        <v/>
      </c>
      <c r="S40" s="7">
        <f>IF(G40=0,"",ROUND(K40/G40*100,2))</f>
        <v/>
      </c>
      <c r="T40" s="7">
        <f>IF(OR(F40=0,M40=""),"",ROUND(M40/F40*100,1))</f>
        <v/>
      </c>
      <c r="U40" s="7">
        <f>IF(Q40="","",IF(Q40&gt;=1,"🔥 قوی",IF(Q40&gt;=0.5,"🟢 نرمال","🔴 ضعیف")))</f>
        <v/>
      </c>
    </row>
    <row r="41">
      <c r="A41" s="5" t="n">
        <v>39</v>
      </c>
      <c r="B41" s="5" t="n"/>
      <c r="C41" s="6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>
        <f>IF(G41=0,"",ROUND((I41+J41+K41+L41)/G41*100,2))</f>
        <v/>
      </c>
      <c r="Q41" s="5">
        <f>IF(G41=0,"",ROUND(L41/G41*100,2))</f>
        <v/>
      </c>
      <c r="R41" s="5">
        <f>IF(G41=0,"",ROUND(I41/G41*100,2))</f>
        <v/>
      </c>
      <c r="S41" s="5">
        <f>IF(G41=0,"",ROUND(K41/G41*100,2))</f>
        <v/>
      </c>
      <c r="T41" s="5">
        <f>IF(OR(F41=0,M41=""),"",ROUND(M41/F41*100,1))</f>
        <v/>
      </c>
      <c r="U41" s="5">
        <f>IF(Q41="","",IF(Q41&gt;=1,"🔥 قوی",IF(Q41&gt;=0.5,"🟢 نرمال","🔴 ضعیف")))</f>
        <v/>
      </c>
    </row>
    <row r="42">
      <c r="A42" s="7" t="n">
        <v>40</v>
      </c>
      <c r="B42" s="7" t="n"/>
      <c r="C42" s="8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>
        <f>IF(G42=0,"",ROUND((I42+J42+K42+L42)/G42*100,2))</f>
        <v/>
      </c>
      <c r="Q42" s="7">
        <f>IF(G42=0,"",ROUND(L42/G42*100,2))</f>
        <v/>
      </c>
      <c r="R42" s="7">
        <f>IF(G42=0,"",ROUND(I42/G42*100,2))</f>
        <v/>
      </c>
      <c r="S42" s="7">
        <f>IF(G42=0,"",ROUND(K42/G42*100,2))</f>
        <v/>
      </c>
      <c r="T42" s="7">
        <f>IF(OR(F42=0,M42=""),"",ROUND(M42/F42*100,1))</f>
        <v/>
      </c>
      <c r="U42" s="7">
        <f>IF(Q42="","",IF(Q42&gt;=1,"🔥 قوی",IF(Q42&gt;=0.5,"🟢 نرمال","🔴 ضعیف")))</f>
        <v/>
      </c>
    </row>
  </sheetData>
  <mergeCells count="1">
    <mergeCell ref="A1:U1"/>
  </mergeCells>
  <conditionalFormatting sqref="Q3:Q42">
    <cfRule type="cellIs" priority="1" operator="greaterThanOrEqual" dxfId="1">
      <formula>1</formula>
    </cfRule>
  </conditionalFormatting>
  <conditionalFormatting sqref="T3:T42">
    <cfRule type="cellIs" priority="2" operator="lessThan" dxfId="2">
      <formula>40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16" customWidth="1" min="4" max="4"/>
    <col width="16" customWidth="1" min="5" max="5"/>
    <col width="52" customWidth="1" min="6" max="6"/>
  </cols>
  <sheetData>
    <row r="1" ht="30" customHeight="1">
      <c r="A1" s="1" t="inlineStr">
        <is>
          <t>🎛️ داشبورد KPI — خودکار از شیت «ثبت عملکرد» می‌خواند</t>
        </is>
      </c>
    </row>
    <row r="2" ht="34" customHeight="1">
      <c r="A2" s="4" t="inlineStr">
        <is>
          <t>شاخص</t>
        </is>
      </c>
      <c r="B2" s="4" t="inlineStr">
        <is>
          <t>مقدار</t>
        </is>
      </c>
      <c r="C2" s="4" t="inlineStr">
        <is>
          <t>آستانه تجربی 🔎</t>
        </is>
      </c>
      <c r="D2" s="4" t="inlineStr">
        <is>
          <t>وضعیت</t>
        </is>
      </c>
      <c r="E2" s="4" t="inlineStr">
        <is>
          <t>سیگنال رسمی؟</t>
        </is>
      </c>
      <c r="F2" s="4" t="inlineStr">
        <is>
          <t>اقدام پیشنهادی</t>
        </is>
      </c>
    </row>
    <row r="3">
      <c r="A3" s="5" t="inlineStr">
        <is>
          <t>تعداد پست ثبت‌شده</t>
        </is>
      </c>
      <c r="B3" s="5">
        <f>COUNTA('ثبت عملکرد'!C3:C42)</f>
        <v/>
      </c>
      <c r="C3" s="6" t="inlineStr">
        <is>
          <t>—</t>
        </is>
      </c>
      <c r="D3" s="5" t="inlineStr">
        <is>
          <t>—</t>
        </is>
      </c>
      <c r="E3" s="5" t="inlineStr">
        <is>
          <t>—</t>
        </is>
      </c>
      <c r="F3" s="6" t="inlineStr">
        <is>
          <t>ثبات مهم‌تر از حجم است</t>
        </is>
      </c>
    </row>
    <row r="4">
      <c r="A4" s="7" t="inlineStr">
        <is>
          <t>Reach کل</t>
        </is>
      </c>
      <c r="B4" s="7">
        <f>SUM('ثبت عملکرد'!G3:G42)</f>
        <v/>
      </c>
      <c r="C4" s="8" t="inlineStr">
        <is>
          <t>—</t>
        </is>
      </c>
      <c r="D4" s="7" t="inlineStr">
        <is>
          <t>—</t>
        </is>
      </c>
      <c r="E4" s="7" t="inlineStr">
        <is>
          <t>—</t>
        </is>
      </c>
      <c r="F4" s="8" t="inlineStr">
        <is>
          <t>مبنای همه نسبت‌ها</t>
        </is>
      </c>
    </row>
    <row r="5">
      <c r="A5" s="5" t="inlineStr">
        <is>
          <t>Views کل</t>
        </is>
      </c>
      <c r="B5" s="5">
        <f>SUM('ثبت عملکرد'!H3:H42)</f>
        <v/>
      </c>
      <c r="C5" s="6" t="inlineStr">
        <is>
          <t>—</t>
        </is>
      </c>
      <c r="D5" s="5" t="inlineStr">
        <is>
          <t>—</t>
        </is>
      </c>
      <c r="E5" s="5" t="inlineStr">
        <is>
          <t>—</t>
        </is>
      </c>
      <c r="F5" s="6" t="inlineStr">
        <is>
          <t>Views جایگزین Impressions شده</t>
        </is>
      </c>
    </row>
    <row r="6">
      <c r="A6" s="7" t="inlineStr">
        <is>
          <t>میانگین Watch Time Ratio ٪</t>
        </is>
      </c>
      <c r="B6" s="7">
        <f>IFERROR(ROUND(AVERAGE('ثبت عملکرد'!T3:T42),1),"—")</f>
        <v/>
      </c>
      <c r="C6" s="8" t="inlineStr">
        <is>
          <t>بالای ۶۰٪ = خوب</t>
        </is>
      </c>
      <c r="D6" s="7">
        <f>IF(B6="—","—",IF(B6&gt;=60,"🟢 خوب",IF(B6&gt;=40,"🟡 متوسط","🔴 ضعیف")))</f>
        <v/>
      </c>
      <c r="E6" s="7" t="inlineStr">
        <is>
          <t>✅ بله (سیگنال ۱)</t>
        </is>
      </c>
      <c r="F6" s="8" t="inlineStr">
        <is>
          <t>زیر ۴۰٪: هوک ۳ ثانیه اول را بازنویسی و با Trial Reels تست کن</t>
        </is>
      </c>
    </row>
    <row r="7">
      <c r="A7" s="5" t="inlineStr">
        <is>
          <t>میانگین Sends per Reach ٪</t>
        </is>
      </c>
      <c r="B7" s="5">
        <f>IFERROR(ROUND(AVERAGE('ثبت عملکرد'!Q3:Q42),2),"—")</f>
        <v/>
      </c>
      <c r="C7" s="6" t="inlineStr">
        <is>
          <t>بالای ۱٪ = قوی</t>
        </is>
      </c>
      <c r="D7" s="5">
        <f>IF(B7="—","—",IF(B7&gt;=1,"🟢 قوی",IF(B7&gt;=0.5,"🟡 نرمال","🔴 ضعیف")))</f>
        <v/>
      </c>
      <c r="E7" s="5" t="inlineStr">
        <is>
          <t>✅ بله (سیگنال ۲)</t>
        </is>
      </c>
      <c r="F7" s="6" t="inlineStr">
        <is>
          <t>زیر ۰.۵٪: CTA ارسال را مخاطب‌محور کن («کسی که … دارد»)</t>
        </is>
      </c>
    </row>
    <row r="8">
      <c r="A8" s="7" t="inlineStr">
        <is>
          <t>میانگین Likes per Reach ٪</t>
        </is>
      </c>
      <c r="B8" s="7">
        <f>IFERROR(ROUND(AVERAGE('ثبت عملکرد'!R3:R42),2),"—")</f>
        <v/>
      </c>
      <c r="C8" s="8" t="inlineStr">
        <is>
          <t>مقایسه با خط پایه خودتان</t>
        </is>
      </c>
      <c r="D8" s="7" t="inlineStr">
        <is>
          <t>—</t>
        </is>
      </c>
      <c r="E8" s="7" t="inlineStr">
        <is>
          <t>✅ بله (سیگنال ۳)</t>
        </is>
      </c>
      <c r="F8" s="8" t="inlineStr">
        <is>
          <t>بیشتر برای محتوای فالوورمحور مهم است</t>
        </is>
      </c>
    </row>
    <row r="9">
      <c r="A9" s="5" t="inlineStr">
        <is>
          <t>میانگین Saves per Reach ٪</t>
        </is>
      </c>
      <c r="B9" s="5">
        <f>IFERROR(ROUND(AVERAGE('ثبت عملکرد'!S3:S42),2),"—")</f>
        <v/>
      </c>
      <c r="C9" s="6" t="inlineStr">
        <is>
          <t>بالای ۱٪ = ارزش مرجعی</t>
        </is>
      </c>
      <c r="D9" s="5" t="inlineStr">
        <is>
          <t>—</t>
        </is>
      </c>
      <c r="E9" s="5" t="inlineStr">
        <is>
          <t>🔎 غیررسمی</t>
        </is>
      </c>
      <c r="F9" s="6" t="inlineStr">
        <is>
          <t>بالا بودن یعنی محتوای مرجع می‌سازید؛ سریالش کنید</t>
        </is>
      </c>
    </row>
    <row r="10">
      <c r="A10" s="7" t="inlineStr">
        <is>
          <t>میانگین ER بر Reach ٪</t>
        </is>
      </c>
      <c r="B10" s="7">
        <f>IFERROR(ROUND(AVERAGE('ثبت عملکرد'!P3:P42),2),"—")</f>
        <v/>
      </c>
      <c r="C10" s="8" t="inlineStr">
        <is>
          <t>کاروسل ~۰.۵٪ / ریلز ~۰.۵٪</t>
        </is>
      </c>
      <c r="D10" s="7" t="inlineStr">
        <is>
          <t>—</t>
        </is>
      </c>
      <c r="E10" s="7" t="inlineStr">
        <is>
          <t>🔎 غیررسمی</t>
        </is>
      </c>
      <c r="F10" s="8" t="inlineStr">
        <is>
          <t>با خط پایه ۹۰ روزه خودتان مقایسه کنید</t>
        </is>
      </c>
    </row>
    <row r="11">
      <c r="A11" s="5" t="inlineStr">
        <is>
          <t>کل بازدید پروفایل</t>
        </is>
      </c>
      <c r="B11" s="5">
        <f>SUM('ثبت عملکرد'!N3:N42)</f>
        <v/>
      </c>
      <c r="C11" s="6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ورودی قیف تبدیل</t>
        </is>
      </c>
    </row>
    <row r="12">
      <c r="A12" s="7" t="inlineStr">
        <is>
          <t>کل فالوور جدید</t>
        </is>
      </c>
      <c r="B12" s="7">
        <f>SUM('ثبت عملکرد'!O3:O42)</f>
        <v/>
      </c>
      <c r="C12" s="8" t="inlineStr">
        <is>
          <t>—</t>
        </is>
      </c>
      <c r="D12" s="7" t="inlineStr">
        <is>
          <t>—</t>
        </is>
      </c>
      <c r="E12" s="7" t="inlineStr">
        <is>
          <t>—</t>
        </is>
      </c>
      <c r="F12" s="8" t="inlineStr">
        <is>
          <t>خروجی قیف</t>
        </is>
      </c>
    </row>
    <row r="13">
      <c r="A13" s="5" t="inlineStr">
        <is>
          <t>نرخ تبدیل پروفایل به فالو ٪</t>
        </is>
      </c>
      <c r="B13" s="5">
        <f>IF(B11=0,"—",ROUND(B12/B11*100,1))</f>
        <v/>
      </c>
      <c r="C13" s="6" t="inlineStr">
        <is>
          <t>۵–۱۵٪ نرمال</t>
        </is>
      </c>
      <c r="D13" s="5">
        <f>IF(B13="—","—",IF(B13&gt;=15,"🟢 عالی",IF(B13&gt;=5,"🟡 نرمال","🔴 بیو ضعیف")))</f>
        <v/>
      </c>
      <c r="E13" s="5" t="inlineStr">
        <is>
          <t>—</t>
        </is>
      </c>
      <c r="F13" s="6" t="inlineStr">
        <is>
          <t>زیر ۵٪: بیو و سه پست اول گرید را بازنویسی کن</t>
        </is>
      </c>
    </row>
    <row r="14">
      <c r="A14" s="7" t="inlineStr">
        <is>
          <t>کل ارسال (Sends)</t>
        </is>
      </c>
      <c r="B14" s="7">
        <f>SUM('ثبت عملکرد'!L3:L42)</f>
        <v/>
      </c>
      <c r="C14" s="8" t="inlineStr">
        <is>
          <t>—</t>
        </is>
      </c>
      <c r="D14" s="7" t="inlineStr">
        <is>
          <t>—</t>
        </is>
      </c>
      <c r="E14" s="7" t="inlineStr">
        <is>
          <t>✅ بله</t>
        </is>
      </c>
      <c r="F14" s="8" t="inlineStr">
        <is>
          <t>موتور اصلی ریچ غیرفالوور</t>
        </is>
      </c>
    </row>
    <row r="15">
      <c r="A15" s="5" t="inlineStr">
        <is>
          <t>کل ذخیره</t>
        </is>
      </c>
      <c r="B15" s="5">
        <f>SUM('ثبت عملکرد'!K3:K42)</f>
        <v/>
      </c>
      <c r="C15" s="6" t="inlineStr">
        <is>
          <t>—</t>
        </is>
      </c>
      <c r="D15" s="5" t="inlineStr">
        <is>
          <t>—</t>
        </is>
      </c>
      <c r="E15" s="5" t="inlineStr">
        <is>
          <t>🔎 غیررسمی</t>
        </is>
      </c>
      <c r="F15" s="6" t="inlineStr">
        <is>
          <t>سیگنال ارزش ماندگار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12" customWidth="1" min="4" max="4"/>
    <col width="12" customWidth="1" min="5" max="5"/>
    <col width="52" customWidth="1" min="6" max="6"/>
  </cols>
  <sheetData>
    <row r="1" ht="30" customHeight="1">
      <c r="A1" s="11" t="inlineStr">
        <is>
          <t>🔍 نقشه کلمات کلیدی و هشتگ (قوانین ۲۰۲۶)</t>
        </is>
      </c>
    </row>
    <row r="2" ht="34" customHeight="1">
      <c r="A2" s="4" t="inlineStr">
        <is>
          <t>مکان</t>
        </is>
      </c>
      <c r="B2" s="4" t="inlineStr">
        <is>
          <t>کلمه کلیدی فعلی</t>
        </is>
      </c>
      <c r="C2" s="4" t="inlineStr">
        <is>
          <t>کلمه کلیدی پیشنهادی</t>
        </is>
      </c>
      <c r="D2" s="4" t="inlineStr">
        <is>
          <t>اهمیت</t>
        </is>
      </c>
      <c r="E2" s="4" t="inlineStr">
        <is>
          <t>وضعیت</t>
        </is>
      </c>
      <c r="F2" s="4" t="inlineStr">
        <is>
          <t>یادداشت</t>
        </is>
      </c>
    </row>
    <row r="3">
      <c r="A3" s="5" t="inlineStr">
        <is>
          <t>نام پروفایل (Name field)</t>
        </is>
      </c>
      <c r="B3" s="5" t="inlineStr"/>
      <c r="C3" s="5" t="inlineStr"/>
      <c r="D3" s="5" t="inlineStr">
        <is>
          <t>🔴 بحرانی</t>
        </is>
      </c>
      <c r="E3" s="5" t="inlineStr"/>
      <c r="F3" s="6" t="inlineStr">
        <is>
          <t>در جستجوی داخل اپ ایندکس می‌شود</t>
        </is>
      </c>
    </row>
    <row r="4">
      <c r="A4" s="7" t="inlineStr">
        <is>
          <t>بیو</t>
        </is>
      </c>
      <c r="B4" s="7" t="inlineStr"/>
      <c r="C4" s="7" t="inlineStr"/>
      <c r="D4" s="7" t="inlineStr">
        <is>
          <t>🔴 بحرانی</t>
        </is>
      </c>
      <c r="E4" s="7" t="inlineStr"/>
      <c r="F4" s="8" t="inlineStr">
        <is>
          <t>توصیه رسمی Instagram: کلمه کلیدی و موقعیت در بیو</t>
        </is>
      </c>
    </row>
    <row r="5">
      <c r="A5" s="5" t="inlineStr">
        <is>
          <t>خط اول کپشن</t>
        </is>
      </c>
      <c r="B5" s="5" t="inlineStr"/>
      <c r="C5" s="5" t="inlineStr"/>
      <c r="D5" s="5" t="inlineStr">
        <is>
          <t>🔴 بحرانی</t>
        </is>
      </c>
      <c r="E5" s="5" t="inlineStr"/>
      <c r="F5" s="6" t="inlineStr">
        <is>
          <t>متن واردشده در جستجو قوی‌ترین سیگنال است</t>
        </is>
      </c>
    </row>
    <row r="6">
      <c r="A6" s="7" t="inlineStr">
        <is>
          <t>متن روی تصویر / زیرنویس</t>
        </is>
      </c>
      <c r="B6" s="7" t="inlineStr"/>
      <c r="C6" s="7" t="inlineStr"/>
      <c r="D6" s="7" t="inlineStr">
        <is>
          <t>🟡 مهم</t>
        </is>
      </c>
      <c r="E6" s="7" t="inlineStr"/>
      <c r="F6" s="8" t="inlineStr">
        <is>
          <t>به تشخیص محتوای ویدیو کمک می‌کند</t>
        </is>
      </c>
    </row>
    <row r="7">
      <c r="A7" s="5" t="inlineStr">
        <is>
          <t>Alt text</t>
        </is>
      </c>
      <c r="B7" s="5" t="inlineStr"/>
      <c r="C7" s="5" t="inlineStr"/>
      <c r="D7" s="5" t="inlineStr">
        <is>
          <t>🟡 مهم</t>
        </is>
      </c>
      <c r="E7" s="5" t="inlineStr"/>
      <c r="F7" s="6" t="inlineStr">
        <is>
          <t>برای پست‌های تصویری</t>
        </is>
      </c>
    </row>
    <row r="8">
      <c r="A8" s="7" t="inlineStr">
        <is>
          <t>لوکیشن</t>
        </is>
      </c>
      <c r="B8" s="7" t="inlineStr"/>
      <c r="C8" s="7" t="inlineStr"/>
      <c r="D8" s="7" t="inlineStr">
        <is>
          <t>🟡 مهم</t>
        </is>
      </c>
      <c r="E8" s="7" t="inlineStr"/>
      <c r="F8" s="8" t="inlineStr">
        <is>
          <t>برای کسب‌وکار محلی</t>
        </is>
      </c>
    </row>
    <row r="9">
      <c r="A9" s="5" t="inlineStr">
        <is>
          <t>کامنت</t>
        </is>
      </c>
      <c r="B9" s="5" t="inlineStr">
        <is>
          <t>—</t>
        </is>
      </c>
      <c r="C9" s="5" t="inlineStr">
        <is>
          <t>❌ کلمه کلیدی اینجا نگذارید</t>
        </is>
      </c>
      <c r="D9" s="5" t="inlineStr">
        <is>
          <t>❌ بی‌اثر</t>
        </is>
      </c>
      <c r="E9" s="5" t="inlineStr"/>
      <c r="F9" s="6" t="inlineStr">
        <is>
          <t>توصیه رسمی: در کپشن، نه کامنت</t>
        </is>
      </c>
    </row>
    <row r="10">
      <c r="A10" s="7" t="inlineStr">
        <is>
          <t>Google Search Console</t>
        </is>
      </c>
      <c r="B10" s="7" t="inlineStr"/>
      <c r="C10" s="7" t="inlineStr"/>
      <c r="D10" s="7" t="inlineStr">
        <is>
          <t>🟡 فرصت</t>
        </is>
      </c>
      <c r="E10" s="7" t="inlineStr"/>
      <c r="F10" s="8" t="inlineStr">
        <is>
          <t>platform property را وصل کنید تا کوئری‌های گوگل را ببینید</t>
        </is>
      </c>
    </row>
    <row r="11">
      <c r="A11" s="5" t="inlineStr">
        <is>
          <t>تنظیم ایندکس گوگل</t>
        </is>
      </c>
      <c r="B11" s="5" t="inlineStr"/>
      <c r="C11" s="5" t="inlineStr"/>
      <c r="D11" s="5" t="inlineStr">
        <is>
          <t>🟡 آگاهانه</t>
        </is>
      </c>
      <c r="E11" s="5" t="inlineStr"/>
      <c r="F11" s="6" t="inlineStr">
        <is>
          <t>پیش‌فرض: فعال. آگاهانه تصمیم بگیرید</t>
        </is>
      </c>
    </row>
    <row r="13">
      <c r="A13" s="12" t="inlineStr">
        <is>
          <t>قوانین هشتگ ۲۰۲۶</t>
        </is>
      </c>
    </row>
    <row r="14">
      <c r="A14" s="13" t="inlineStr">
        <is>
          <t>• سقف ۵ هشتگ در هر پست — از ۱۸ دسامبر ۲۰۲۵ توسط خود محصول اعمال می‌شود ✅</t>
        </is>
      </c>
    </row>
    <row r="15">
      <c r="A15" s="13" t="inlineStr">
        <is>
          <t>• هشتگ اهرم ریچ نیست؛ فقط سیگنال موضوع است ✅</t>
        </is>
      </c>
    </row>
    <row r="16">
      <c r="A16" s="13" t="inlineStr">
        <is>
          <t>• ترکیب پیشنهادی: ۱ نیچ اصلی + ۲ موضوع پست + ۱ محلی + ۱ برند</t>
        </is>
      </c>
    </row>
    <row r="17">
      <c r="A17" s="13" t="inlineStr">
        <is>
          <t>• کلمه کلیدی در کپشن اثر بیشتری از حجم هشتگ دارد</t>
        </is>
      </c>
    </row>
    <row r="18">
      <c r="A18" s="13" t="inlineStr">
        <is>
          <t>• دلیل رسمی: «هشتگ کمتر و هدفمندتر، هم عملکرد محتوا و هم تجربه کاربر را بهتر می‌کند»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10" customWidth="1" min="3" max="3"/>
    <col width="14" customWidth="1" min="4" max="4"/>
    <col width="40" customWidth="1" min="5" max="5"/>
    <col width="12" customWidth="1" min="6" max="6"/>
  </cols>
  <sheetData>
    <row r="1" ht="30" customHeight="1">
      <c r="A1" s="14" t="inlineStr">
        <is>
          <t>🩻 حسابرسی پیج — وضعیت هر مورد را از فهرست انتخاب کنید</t>
        </is>
      </c>
    </row>
    <row r="2" ht="34" customHeight="1">
      <c r="A2" s="4" t="inlineStr">
        <is>
          <t>بخش</t>
        </is>
      </c>
      <c r="B2" s="4" t="inlineStr">
        <is>
          <t>مورد</t>
        </is>
      </c>
      <c r="C2" s="4" t="inlineStr">
        <is>
          <t>اهمیت</t>
        </is>
      </c>
      <c r="D2" s="4" t="inlineStr">
        <is>
          <t>وضعیت</t>
        </is>
      </c>
      <c r="E2" s="4" t="inlineStr">
        <is>
          <t>اقدام اصلاحی</t>
        </is>
      </c>
      <c r="F2" s="4" t="inlineStr">
        <is>
          <t>مسئول</t>
        </is>
      </c>
    </row>
    <row r="3">
      <c r="A3" s="5" t="inlineStr">
        <is>
          <t>۱. سلامت حساب</t>
        </is>
      </c>
      <c r="B3" s="6" t="inlineStr">
        <is>
          <t>Account Status پاک است (صلاحیت توصیه)</t>
        </is>
      </c>
      <c r="C3" s="5" t="inlineStr">
        <is>
          <t>بحرانی</t>
        </is>
      </c>
      <c r="D3" s="5" t="inlineStr"/>
      <c r="E3" s="6" t="n"/>
      <c r="F3" s="5" t="n"/>
    </row>
    <row r="4">
      <c r="A4" s="7" t="inlineStr">
        <is>
          <t>۱. سلامت حساب</t>
        </is>
      </c>
      <c r="B4" s="8" t="inlineStr">
        <is>
          <t>پست‌های ۳۰ روز اخیر اورجینال‌اند (بدون واترمارک/ری‌پست خام)</t>
        </is>
      </c>
      <c r="C4" s="7" t="inlineStr">
        <is>
          <t>بحرانی</t>
        </is>
      </c>
      <c r="D4" s="7" t="inlineStr"/>
      <c r="E4" s="8" t="n"/>
      <c r="F4" s="7" t="n"/>
    </row>
    <row r="5">
      <c r="A5" s="5" t="inlineStr">
        <is>
          <t>۱. سلامت حساب</t>
        </is>
      </c>
      <c r="B5" s="6" t="inlineStr">
        <is>
          <t>حساب Professional است و Insights فعال است</t>
        </is>
      </c>
      <c r="C5" s="5" t="inlineStr">
        <is>
          <t>بحرانی</t>
        </is>
      </c>
      <c r="D5" s="5" t="inlineStr"/>
      <c r="E5" s="6" t="n"/>
      <c r="F5" s="5" t="n"/>
    </row>
    <row r="6">
      <c r="A6" s="7" t="inlineStr">
        <is>
          <t>۱. سلامت حساب</t>
        </is>
      </c>
      <c r="B6" s="8" t="inlineStr">
        <is>
          <t>Recommendations Guidelines نقض نشده</t>
        </is>
      </c>
      <c r="C6" s="7" t="inlineStr">
        <is>
          <t>بحرانی</t>
        </is>
      </c>
      <c r="D6" s="7" t="inlineStr"/>
      <c r="E6" s="8" t="n"/>
      <c r="F6" s="7" t="n"/>
    </row>
    <row r="7">
      <c r="A7" s="5" t="inlineStr">
        <is>
          <t>۲. پروفایل</t>
        </is>
      </c>
      <c r="B7" s="6" t="inlineStr">
        <is>
          <t>نام پروفایل شامل کلمه کلیدی است</t>
        </is>
      </c>
      <c r="C7" s="5" t="inlineStr">
        <is>
          <t>زیاد</t>
        </is>
      </c>
      <c r="D7" s="5" t="inlineStr"/>
      <c r="E7" s="6" t="n"/>
      <c r="F7" s="5" t="n"/>
    </row>
    <row r="8">
      <c r="A8" s="7" t="inlineStr">
        <is>
          <t>۲. پروفایل</t>
        </is>
      </c>
      <c r="B8" s="8" t="inlineStr">
        <is>
          <t>بیو: چه‌کار / برای که / اثبات / CTA</t>
        </is>
      </c>
      <c r="C8" s="7" t="inlineStr">
        <is>
          <t>زیاد</t>
        </is>
      </c>
      <c r="D8" s="7" t="inlineStr"/>
      <c r="E8" s="8" t="n"/>
      <c r="F8" s="7" t="n"/>
    </row>
    <row r="9">
      <c r="A9" s="5" t="inlineStr">
        <is>
          <t>۲. پروفایل</t>
        </is>
      </c>
      <c r="B9" s="6" t="inlineStr">
        <is>
          <t>لینک فعال و درست</t>
        </is>
      </c>
      <c r="C9" s="5" t="inlineStr">
        <is>
          <t>زیاد</t>
        </is>
      </c>
      <c r="D9" s="5" t="inlineStr"/>
      <c r="E9" s="6" t="n"/>
      <c r="F9" s="5" t="n"/>
    </row>
    <row r="10">
      <c r="A10" s="7" t="inlineStr">
        <is>
          <t>۲. پروفایل</t>
        </is>
      </c>
      <c r="B10" s="8" t="inlineStr">
        <is>
          <t>دسته‌بندی و دکمه تماس درست</t>
        </is>
      </c>
      <c r="C10" s="7" t="inlineStr">
        <is>
          <t>متوسط</t>
        </is>
      </c>
      <c r="D10" s="7" t="inlineStr"/>
      <c r="E10" s="8" t="n"/>
      <c r="F10" s="7" t="n"/>
    </row>
    <row r="11">
      <c r="A11" s="5" t="inlineStr">
        <is>
          <t>۳. گرید</t>
        </is>
      </c>
      <c r="B11" s="6" t="inlineStr">
        <is>
          <t>سه پست اول پیام اصلی را می‌رسانند</t>
        </is>
      </c>
      <c r="C11" s="5" t="inlineStr">
        <is>
          <t>زیاد</t>
        </is>
      </c>
      <c r="D11" s="5" t="inlineStr"/>
      <c r="E11" s="6" t="n"/>
      <c r="F11" s="5" t="n"/>
    </row>
    <row r="12">
      <c r="A12" s="7" t="inlineStr">
        <is>
          <t>۳. گرید</t>
        </is>
      </c>
      <c r="B12" s="8" t="inlineStr">
        <is>
          <t>کاورها متن خوانا دارند</t>
        </is>
      </c>
      <c r="C12" s="7" t="inlineStr">
        <is>
          <t>زیاد</t>
        </is>
      </c>
      <c r="D12" s="7" t="inlineStr"/>
      <c r="E12" s="8" t="n"/>
      <c r="F12" s="7" t="n"/>
    </row>
    <row r="13">
      <c r="A13" s="5" t="inlineStr">
        <is>
          <t>۳. گرید</t>
        </is>
      </c>
      <c r="B13" s="6" t="inlineStr">
        <is>
          <t>هایلایت «نتایج/رضایت مشتری» وجود دارد</t>
        </is>
      </c>
      <c r="C13" s="5" t="inlineStr">
        <is>
          <t>زیاد</t>
        </is>
      </c>
      <c r="D13" s="5" t="inlineStr"/>
      <c r="E13" s="6" t="n"/>
      <c r="F13" s="5" t="n"/>
    </row>
    <row r="14">
      <c r="A14" s="7" t="inlineStr">
        <is>
          <t>۴. محتوا</t>
        </is>
      </c>
      <c r="B14" s="8" t="inlineStr">
        <is>
          <t>ریلزها صدا/موزیک دارند</t>
        </is>
      </c>
      <c r="C14" s="7" t="inlineStr">
        <is>
          <t>زیاد</t>
        </is>
      </c>
      <c r="D14" s="7" t="inlineStr"/>
      <c r="E14" s="8" t="n"/>
      <c r="F14" s="7" t="n"/>
    </row>
    <row r="15">
      <c r="A15" s="5" t="inlineStr">
        <is>
          <t>۴. محتوا</t>
        </is>
      </c>
      <c r="B15" s="6" t="inlineStr">
        <is>
          <t>زیرنویس برای تماشای بی‌صدا</t>
        </is>
      </c>
      <c r="C15" s="5" t="inlineStr">
        <is>
          <t>زیاد</t>
        </is>
      </c>
      <c r="D15" s="5" t="inlineStr"/>
      <c r="E15" s="6" t="n"/>
      <c r="F15" s="5" t="n"/>
    </row>
    <row r="16">
      <c r="A16" s="7" t="inlineStr">
        <is>
          <t>۴. محتوا</t>
        </is>
      </c>
      <c r="B16" s="8" t="inlineStr">
        <is>
          <t>کیفیت صدا و نور قابل قبول</t>
        </is>
      </c>
      <c r="C16" s="7" t="inlineStr">
        <is>
          <t>زیاد</t>
        </is>
      </c>
      <c r="D16" s="7" t="inlineStr"/>
      <c r="E16" s="8" t="n"/>
      <c r="F16" s="7" t="n"/>
    </row>
    <row r="17">
      <c r="A17" s="5" t="inlineStr">
        <is>
          <t>۴. محتوا</t>
        </is>
      </c>
      <c r="B17" s="6" t="inlineStr">
        <is>
          <t>نسبت ۹:۱۶ کامل (بدون نوار سیاه)</t>
        </is>
      </c>
      <c r="C17" s="5" t="inlineStr">
        <is>
          <t>متوسط</t>
        </is>
      </c>
      <c r="D17" s="5" t="inlineStr"/>
      <c r="E17" s="6" t="n"/>
      <c r="F17" s="5" t="n"/>
    </row>
    <row r="18">
      <c r="A18" s="7" t="inlineStr">
        <is>
          <t>۵. SEO</t>
        </is>
      </c>
      <c r="B18" s="8" t="inlineStr">
        <is>
          <t>کلمه کلیدی در نام پروفایل + بیو + خط اول کپشن</t>
        </is>
      </c>
      <c r="C18" s="7" t="inlineStr">
        <is>
          <t>زیاد</t>
        </is>
      </c>
      <c r="D18" s="7" t="inlineStr"/>
      <c r="E18" s="8" t="n"/>
      <c r="F18" s="7" t="n"/>
    </row>
    <row r="19">
      <c r="A19" s="5" t="inlineStr">
        <is>
          <t>۵. SEO</t>
        </is>
      </c>
      <c r="B19" s="6" t="inlineStr">
        <is>
          <t>حداکثر ۵ هشتگ مرتبط</t>
        </is>
      </c>
      <c r="C19" s="5" t="inlineStr">
        <is>
          <t>زیاد</t>
        </is>
      </c>
      <c r="D19" s="5" t="inlineStr"/>
      <c r="E19" s="6" t="n"/>
      <c r="F19" s="5" t="n"/>
    </row>
    <row r="20">
      <c r="A20" s="7" t="inlineStr">
        <is>
          <t>۵. SEO</t>
        </is>
      </c>
      <c r="B20" s="8" t="inlineStr">
        <is>
          <t>Alt text نوشته شده</t>
        </is>
      </c>
      <c r="C20" s="7" t="inlineStr">
        <is>
          <t>متوسط</t>
        </is>
      </c>
      <c r="D20" s="7" t="inlineStr"/>
      <c r="E20" s="8" t="n"/>
      <c r="F20" s="7" t="n"/>
    </row>
    <row r="21">
      <c r="A21" s="5" t="inlineStr">
        <is>
          <t>۵. SEO</t>
        </is>
      </c>
      <c r="B21" s="6" t="inlineStr">
        <is>
          <t>Google Search Console وصل شده</t>
        </is>
      </c>
      <c r="C21" s="5" t="inlineStr">
        <is>
          <t>متوسط</t>
        </is>
      </c>
      <c r="D21" s="5" t="inlineStr"/>
      <c r="E21" s="6" t="n"/>
      <c r="F21" s="5" t="n"/>
    </row>
    <row r="22">
      <c r="A22" s="7" t="inlineStr">
        <is>
          <t>۶. استراتژی</t>
        </is>
      </c>
      <c r="B22" s="8" t="inlineStr">
        <is>
          <t>کدنسی ثابت در ۳۰ روز اخیر</t>
        </is>
      </c>
      <c r="C22" s="7" t="inlineStr">
        <is>
          <t>زیاد</t>
        </is>
      </c>
      <c r="D22" s="7" t="inlineStr"/>
      <c r="E22" s="8" t="n"/>
      <c r="F22" s="7" t="n"/>
    </row>
    <row r="23">
      <c r="A23" s="5" t="inlineStr">
        <is>
          <t>۶. استراتژی</t>
        </is>
      </c>
      <c r="B23" s="6" t="inlineStr">
        <is>
          <t>ستون‌های محتوا تفکیک‌پذیرند</t>
        </is>
      </c>
      <c r="C23" s="5" t="inlineStr">
        <is>
          <t>زیاد</t>
        </is>
      </c>
      <c r="D23" s="5" t="inlineStr"/>
      <c r="E23" s="6" t="n"/>
      <c r="F23" s="5" t="n"/>
    </row>
    <row r="24">
      <c r="A24" s="7" t="inlineStr">
        <is>
          <t>۶. استراتژی</t>
        </is>
      </c>
      <c r="B24" s="8" t="inlineStr">
        <is>
          <t>از Trial Reels برای تست استفاده شده</t>
        </is>
      </c>
      <c r="C24" s="7" t="inlineStr">
        <is>
          <t>متوسط</t>
        </is>
      </c>
      <c r="D24" s="7" t="inlineStr"/>
      <c r="E24" s="8" t="n"/>
      <c r="F24" s="7" t="n"/>
    </row>
    <row r="25">
      <c r="A25" s="5" t="inlineStr">
        <is>
          <t>۶. استراتژی</t>
        </is>
      </c>
      <c r="B25" s="6" t="inlineStr">
        <is>
          <t>محتوای «قابل ارسال در دایرکت» ساخته‌ایم</t>
        </is>
      </c>
      <c r="C25" s="5" t="inlineStr">
        <is>
          <t>زیاد</t>
        </is>
      </c>
      <c r="D25" s="5" t="inlineStr"/>
      <c r="E25" s="6" t="n"/>
      <c r="F25" s="5" t="n"/>
    </row>
    <row r="26">
      <c r="A26" s="7" t="inlineStr">
        <is>
          <t>۷. تبدیل</t>
        </is>
      </c>
      <c r="B26" s="8" t="inlineStr">
        <is>
          <t>پاسخ به دایرکت زیر ۲۴ ساعت</t>
        </is>
      </c>
      <c r="C26" s="7" t="inlineStr">
        <is>
          <t>زیاد</t>
        </is>
      </c>
      <c r="D26" s="7" t="inlineStr"/>
      <c r="E26" s="8" t="n"/>
      <c r="F26" s="7" t="n"/>
    </row>
    <row r="27">
      <c r="A27" s="5" t="inlineStr">
        <is>
          <t>۷. تبدیل</t>
        </is>
      </c>
      <c r="B27" s="6" t="inlineStr">
        <is>
          <t>اسکریپت پاسخ دایرکت آماده است</t>
        </is>
      </c>
      <c r="C27" s="5" t="inlineStr">
        <is>
          <t>زیاد</t>
        </is>
      </c>
      <c r="D27" s="5" t="inlineStr"/>
      <c r="E27" s="6" t="n"/>
      <c r="F27" s="5" t="n"/>
    </row>
    <row r="28">
      <c r="A28" s="7" t="inlineStr">
        <is>
          <t>۷. تبدیل</t>
        </is>
      </c>
      <c r="B28" s="8" t="inlineStr">
        <is>
          <t>استوری لینک استیکر و استیکر تعاملی دارد</t>
        </is>
      </c>
      <c r="C28" s="7" t="inlineStr">
        <is>
          <t>زیاد</t>
        </is>
      </c>
      <c r="D28" s="7" t="inlineStr"/>
      <c r="E28" s="8" t="n"/>
      <c r="F28" s="7" t="n"/>
    </row>
    <row r="29">
      <c r="A29" s="5" t="inlineStr">
        <is>
          <t>۷. تبدیل</t>
        </is>
      </c>
      <c r="B29" s="6" t="inlineStr">
        <is>
          <t>مسیر خرید روشن است (پست تا پرداخت)</t>
        </is>
      </c>
      <c r="C29" s="5" t="inlineStr">
        <is>
          <t>زیاد</t>
        </is>
      </c>
      <c r="D29" s="5" t="inlineStr"/>
      <c r="E29" s="6" t="n"/>
      <c r="F29" s="5" t="n"/>
    </row>
    <row r="31">
      <c r="A31" s="12" t="inlineStr">
        <is>
          <t>امتیاز سلامت پیج (از ۱۰۰)</t>
        </is>
      </c>
      <c r="B31" s="15">
        <f>ROUND((COUNTIF(D3:D29,"✅ سالم")*1+COUNTIF(D3:D29,"⚠️ نیاز به بهبود")*0.5)/27*100,0)</f>
        <v/>
      </c>
    </row>
    <row r="32">
      <c r="A32" s="16" t="inlineStr">
        <is>
          <t>تعداد موارد بحرانی</t>
        </is>
      </c>
      <c r="B32">
        <f>COUNTIF(D3:D29,"❌ بحرانی")</f>
        <v/>
      </c>
    </row>
    <row r="33">
      <c r="A33" s="16" t="inlineStr">
        <is>
          <t>تعداد موارد بررسی‌نشده</t>
        </is>
      </c>
      <c r="B33">
        <f>COUNTBLANK(D3:D29)</f>
        <v/>
      </c>
    </row>
  </sheetData>
  <mergeCells count="1">
    <mergeCell ref="A1:F1"/>
  </mergeCells>
  <dataValidations count="1">
    <dataValidation sqref="D3:D29" showDropDown="0" showInputMessage="0" showErrorMessage="0" allowBlank="1" type="list">
      <formula1>"✅ سالم,⚠️ نیاز به بهبود,❌ بحرانی"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2026-09-13T11:06:10Z</dcterms:created>
  <dcterms:modified xmlns:dcterms="http://purl.org/dc/terms/" xmlns:xsi="http://www.w3.org/2001/XMLSchema-instance" xsi:type="dcterms:W3CDTF">2026-09-13T11:06:10Z</dcterms:modified>
</cp:coreProperties>
</file>